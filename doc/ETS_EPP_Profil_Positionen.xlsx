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hias\OpenKNX\OAM-EnoceanNEU\doc\"/>
    </mc:Choice>
  </mc:AlternateContent>
  <xr:revisionPtr revIDLastSave="0" documentId="8_{FD4867D3-216E-4E1B-8A85-F0FF430EC35B}" xr6:coauthVersionLast="47" xr6:coauthVersionMax="47" xr10:uidLastSave="{00000000-0000-0000-0000-000000000000}"/>
  <bookViews>
    <workbookView xWindow="2268" yWindow="2268" windowWidth="20016" windowHeight="9960" firstSheet="2" activeTab="2" xr2:uid="{569ECD57-C369-4D5C-ADA5-279ADE310DDC}"/>
  </bookViews>
  <sheets>
    <sheet name="EEP-Profile" sheetId="1" r:id="rId1"/>
    <sheet name="Parameter" sheetId="2" r:id="rId2"/>
    <sheet name="KOs" sheetId="3" r:id="rId3"/>
    <sheet name="Profile_Gitlab_ETS" sheetId="4" r:id="rId4"/>
    <sheet name="Profile_Gitlab_Kon" sheetId="8" r:id="rId5"/>
    <sheet name="Rocker" sheetId="5" r:id="rId6"/>
    <sheet name="MSG creator" sheetId="6" r:id="rId7"/>
    <sheet name="AES128" sheetId="9" r:id="rId8"/>
    <sheet name="Umrechnungen" sheetId="7" r:id="rId9"/>
    <sheet name="Tests" sheetId="10" r:id="rId10"/>
    <sheet name="TeachIn" sheetId="11" r:id="rId11"/>
    <sheet name="Tabelle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1" i="7" l="1"/>
  <c r="B7" i="7" l="1"/>
  <c r="C11" i="7" s="1"/>
  <c r="C6" i="7"/>
  <c r="C7" i="7" s="1"/>
  <c r="C8" i="7" s="1"/>
  <c r="B6" i="7"/>
  <c r="K13" i="7"/>
  <c r="K9" i="7"/>
  <c r="E7" i="7"/>
  <c r="F11" i="7" s="1"/>
  <c r="F6" i="7"/>
  <c r="F7" i="7" s="1"/>
  <c r="E6" i="7"/>
  <c r="J37" i="7"/>
  <c r="J34" i="7"/>
  <c r="F8" i="7" l="1"/>
  <c r="C10" i="7"/>
  <c r="B8" i="7"/>
  <c r="F10" i="7"/>
  <c r="F15" i="7" s="1"/>
  <c r="E8" i="7"/>
  <c r="P26" i="7"/>
  <c r="M21" i="7"/>
  <c r="M19" i="7"/>
  <c r="C15" i="7" l="1"/>
  <c r="C18" i="7"/>
</calcChain>
</file>

<file path=xl/sharedStrings.xml><?xml version="1.0" encoding="utf-8"?>
<sst xmlns="http://schemas.openxmlformats.org/spreadsheetml/2006/main" count="2467" uniqueCount="1018">
  <si>
    <t>F6-02-01</t>
  </si>
  <si>
    <t>F6-02-02</t>
  </si>
  <si>
    <t>F6-02-03</t>
  </si>
  <si>
    <t>F6-02-04</t>
  </si>
  <si>
    <t>F6-03-01</t>
  </si>
  <si>
    <t>F6-03-02</t>
  </si>
  <si>
    <t>F6-04-01</t>
  </si>
  <si>
    <t>F6-04-02</t>
  </si>
  <si>
    <t>F6-05-01</t>
  </si>
  <si>
    <t>F6-10-00</t>
  </si>
  <si>
    <t>F6-10-01</t>
  </si>
  <si>
    <t>1BS</t>
  </si>
  <si>
    <t>D5-00-01</t>
  </si>
  <si>
    <t>A5</t>
  </si>
  <si>
    <t>A5-02-01</t>
  </si>
  <si>
    <t>A5-02-02</t>
  </si>
  <si>
    <t>A5-02-03</t>
  </si>
  <si>
    <t>A5-02-04</t>
  </si>
  <si>
    <t>A5-02-05</t>
  </si>
  <si>
    <t>A5-02-06</t>
  </si>
  <si>
    <t>A5-02-07</t>
  </si>
  <si>
    <t>A5-02-08</t>
  </si>
  <si>
    <t>A5-02-09</t>
  </si>
  <si>
    <t>A5-02-10</t>
  </si>
  <si>
    <t>A5-02-11</t>
  </si>
  <si>
    <t>A5-02-12</t>
  </si>
  <si>
    <t>A5-02-13</t>
  </si>
  <si>
    <t>A5-02-14</t>
  </si>
  <si>
    <t>A5-02-15</t>
  </si>
  <si>
    <t>A5-02-16</t>
  </si>
  <si>
    <t>A5-02-17</t>
  </si>
  <si>
    <t>A5-02-18</t>
  </si>
  <si>
    <t>A5-02-19</t>
  </si>
  <si>
    <t>A5-02-0A</t>
  </si>
  <si>
    <t>A5-02-0B</t>
  </si>
  <si>
    <t>A5-02-1A</t>
  </si>
  <si>
    <t>A5-02-1B</t>
  </si>
  <si>
    <t>A5-02-20</t>
  </si>
  <si>
    <t>A5-02-30</t>
  </si>
  <si>
    <t>A5-04-01</t>
  </si>
  <si>
    <t>A5-04-02</t>
  </si>
  <si>
    <t>A5-04-03</t>
  </si>
  <si>
    <t>A5-05-01</t>
  </si>
  <si>
    <t>A5-06-01</t>
  </si>
  <si>
    <t>A5-06-02</t>
  </si>
  <si>
    <t>A5-06-03</t>
  </si>
  <si>
    <t>A5-07-01</t>
  </si>
  <si>
    <t>A5-07-02</t>
  </si>
  <si>
    <t>A5-07-03</t>
  </si>
  <si>
    <t>A5-08-01</t>
  </si>
  <si>
    <t>A5-08-02</t>
  </si>
  <si>
    <t>A5-08-03</t>
  </si>
  <si>
    <t>A5-09-02</t>
  </si>
  <si>
    <t>A5-09-03</t>
  </si>
  <si>
    <t>A5-09-04</t>
  </si>
  <si>
    <t>A5-09-05</t>
  </si>
  <si>
    <t>A5-09-06</t>
  </si>
  <si>
    <t>A5-09-07</t>
  </si>
  <si>
    <t>A5-09-08</t>
  </si>
  <si>
    <t>A5-09-09</t>
  </si>
  <si>
    <t>A5-09-0A</t>
  </si>
  <si>
    <t>A5-09-0B</t>
  </si>
  <si>
    <t>A5-10-01</t>
  </si>
  <si>
    <t>A5-10-02</t>
  </si>
  <si>
    <t>A5-10-03</t>
  </si>
  <si>
    <t>A5-10-04</t>
  </si>
  <si>
    <t>A5-10-05</t>
  </si>
  <si>
    <t>A5-10-06</t>
  </si>
  <si>
    <t>A5-10-07</t>
  </si>
  <si>
    <t>A5-10-08</t>
  </si>
  <si>
    <t>A5-10-09</t>
  </si>
  <si>
    <t>A5-10-10</t>
  </si>
  <si>
    <t>A5-10-11</t>
  </si>
  <si>
    <t>A5-10-12</t>
  </si>
  <si>
    <t>A5-10-13</t>
  </si>
  <si>
    <t>A5-10-14</t>
  </si>
  <si>
    <t>A5-10-15</t>
  </si>
  <si>
    <t>A5-10-16</t>
  </si>
  <si>
    <t>A5-10-17</t>
  </si>
  <si>
    <t>A5-10-18</t>
  </si>
  <si>
    <t>A5-10-0A</t>
  </si>
  <si>
    <t>A5-10-0B</t>
  </si>
  <si>
    <t>A5-10-0C</t>
  </si>
  <si>
    <t>A5-10-0D</t>
  </si>
  <si>
    <t>A5-10-19</t>
  </si>
  <si>
    <t>A5-10-20</t>
  </si>
  <si>
    <t>A5-10-21</t>
  </si>
  <si>
    <t>A5-10-1A</t>
  </si>
  <si>
    <t>A5-10-1B</t>
  </si>
  <si>
    <t>A5-10-1C</t>
  </si>
  <si>
    <t>A5-10-1D</t>
  </si>
  <si>
    <t>A5-10-1E</t>
  </si>
  <si>
    <t>A5-10-1F</t>
  </si>
  <si>
    <t>A5-11-01</t>
  </si>
  <si>
    <t>A5-11-02</t>
  </si>
  <si>
    <t>A5-11-03</t>
  </si>
  <si>
    <t>A5-11-04</t>
  </si>
  <si>
    <t>A5-12-00</t>
  </si>
  <si>
    <t>A5-12-01</t>
  </si>
  <si>
    <t>A5-12-02</t>
  </si>
  <si>
    <t>A5-12-03</t>
  </si>
  <si>
    <t>A5-12-04</t>
  </si>
  <si>
    <t>A5-12-05</t>
  </si>
  <si>
    <t>A5-12-10</t>
  </si>
  <si>
    <t>A5-13-01</t>
  </si>
  <si>
    <t>A5-13-02</t>
  </si>
  <si>
    <t>A5-13-03</t>
  </si>
  <si>
    <t>A5-13-04</t>
  </si>
  <si>
    <t>A5-13-05</t>
  </si>
  <si>
    <t>A5-13-06</t>
  </si>
  <si>
    <t>A5-13-10</t>
  </si>
  <si>
    <t>A5-14-01</t>
  </si>
  <si>
    <t>A5-14-02</t>
  </si>
  <si>
    <t>A5-14-03</t>
  </si>
  <si>
    <t>A5-14-04</t>
  </si>
  <si>
    <t>A5-14-05</t>
  </si>
  <si>
    <t>A5-14-06</t>
  </si>
  <si>
    <t>A5-20-01</t>
  </si>
  <si>
    <t>A5-20-02</t>
  </si>
  <si>
    <t>A5-20-03</t>
  </si>
  <si>
    <t>A5-20-04</t>
  </si>
  <si>
    <t>A5-20-10</t>
  </si>
  <si>
    <t>A5-20-11</t>
  </si>
  <si>
    <t>A5-20-12</t>
  </si>
  <si>
    <t>A5-30-01</t>
  </si>
  <si>
    <t>A5-30-02</t>
  </si>
  <si>
    <t>A5-30-03</t>
  </si>
  <si>
    <t>A5-30-04</t>
  </si>
  <si>
    <t>A5-30-05</t>
  </si>
  <si>
    <t>A5-37-01</t>
  </si>
  <si>
    <t>A5-38-08</t>
  </si>
  <si>
    <t>A5-38-09</t>
  </si>
  <si>
    <t>A5-3F-00</t>
  </si>
  <si>
    <t>A5-3F-7F</t>
  </si>
  <si>
    <t>D2-00-01</t>
  </si>
  <si>
    <t>D2-01-00</t>
  </si>
  <si>
    <t>D2-01-01</t>
  </si>
  <si>
    <t>D2-01-02</t>
  </si>
  <si>
    <t>D2-01-03</t>
  </si>
  <si>
    <t>D2-01-04</t>
  </si>
  <si>
    <t>D2-01-05</t>
  </si>
  <si>
    <t>D2-01-06</t>
  </si>
  <si>
    <t>D2-01-07</t>
  </si>
  <si>
    <t>D2-01-08</t>
  </si>
  <si>
    <t>D2-01-09</t>
  </si>
  <si>
    <t>D2-01-10</t>
  </si>
  <si>
    <t>D2-01-11</t>
  </si>
  <si>
    <t>D2-01-0A</t>
  </si>
  <si>
    <t>D2-01-0B</t>
  </si>
  <si>
    <t>D2-01-12</t>
  </si>
  <si>
    <t>D2-01-0C</t>
  </si>
  <si>
    <t>D2-01-0D</t>
  </si>
  <si>
    <t>D2-01-0E</t>
  </si>
  <si>
    <t>D2-01-0F</t>
  </si>
  <si>
    <t>D2-01-13</t>
  </si>
  <si>
    <t>D2-01-14</t>
  </si>
  <si>
    <t>D2-02-00</t>
  </si>
  <si>
    <t>D2-02-01</t>
  </si>
  <si>
    <t>D2-02-02</t>
  </si>
  <si>
    <t>D2-03-00</t>
  </si>
  <si>
    <t>D2-03-01</t>
  </si>
  <si>
    <t>D2-03-02</t>
  </si>
  <si>
    <t>D2-04-00</t>
  </si>
  <si>
    <t>D2-04-01</t>
  </si>
  <si>
    <t>D2-04-02</t>
  </si>
  <si>
    <t>D2-04-03</t>
  </si>
  <si>
    <t>D2-04-04</t>
  </si>
  <si>
    <t>D2-04-05</t>
  </si>
  <si>
    <t>D2-04-06</t>
  </si>
  <si>
    <t>D2-04-07</t>
  </si>
  <si>
    <t>D2-04-08</t>
  </si>
  <si>
    <t>D2-04-09</t>
  </si>
  <si>
    <t>D2-04-10</t>
  </si>
  <si>
    <t>D2-04-1A</t>
  </si>
  <si>
    <t>D2-04-1B</t>
  </si>
  <si>
    <t>D2-04-1C</t>
  </si>
  <si>
    <t>D2-04-1D</t>
  </si>
  <si>
    <t>D2-04-1E</t>
  </si>
  <si>
    <t>D2-05-00</t>
  </si>
  <si>
    <t>D2-05-01</t>
  </si>
  <si>
    <t>D2-05-02</t>
  </si>
  <si>
    <t>D2-06-01</t>
  </si>
  <si>
    <t>D2-10-00</t>
  </si>
  <si>
    <t>D2-10-01</t>
  </si>
  <si>
    <t>D2-10-02</t>
  </si>
  <si>
    <t>D2-11-01</t>
  </si>
  <si>
    <t>D2-11-02</t>
  </si>
  <si>
    <t>D2-11-03</t>
  </si>
  <si>
    <t>D2-11-04</t>
  </si>
  <si>
    <t>D2-11-05</t>
  </si>
  <si>
    <t>D2-11-06</t>
  </si>
  <si>
    <t>D2-11-07</t>
  </si>
  <si>
    <t>D2-11-08</t>
  </si>
  <si>
    <t>D2-20-00</t>
  </si>
  <si>
    <t>D2-20-01</t>
  </si>
  <si>
    <t>D2-20-02</t>
  </si>
  <si>
    <t>D2-30-00</t>
  </si>
  <si>
    <t>D2-30-01</t>
  </si>
  <si>
    <t>D2-30-02</t>
  </si>
  <si>
    <t>D2-30-03</t>
  </si>
  <si>
    <t>D2-30-04</t>
  </si>
  <si>
    <t>D2-30-05</t>
  </si>
  <si>
    <t>D2-30-06</t>
  </si>
  <si>
    <t>D2-31-00</t>
  </si>
  <si>
    <t>D2-31-01</t>
  </si>
  <si>
    <t>D2-32-00</t>
  </si>
  <si>
    <t>D2-32-01</t>
  </si>
  <si>
    <t>D2-32-02</t>
  </si>
  <si>
    <t>D2-33-00</t>
  </si>
  <si>
    <t>D2-34-00</t>
  </si>
  <si>
    <t>D2-34-01</t>
  </si>
  <si>
    <t>D2-34-02</t>
  </si>
  <si>
    <t>D2-40-00</t>
  </si>
  <si>
    <t>D2-40-01</t>
  </si>
  <si>
    <t>D2-50-00</t>
  </si>
  <si>
    <t>D2-50-01</t>
  </si>
  <si>
    <t>D2-50-10</t>
  </si>
  <si>
    <t>D2-50-11</t>
  </si>
  <si>
    <t>D2-A0-01</t>
  </si>
  <si>
    <t>D2-B0-51</t>
  </si>
  <si>
    <t>4BS</t>
  </si>
  <si>
    <t>VLD</t>
  </si>
  <si>
    <t>F6</t>
  </si>
  <si>
    <t>D5</t>
  </si>
  <si>
    <t>3F</t>
  </si>
  <si>
    <t>D2</t>
  </si>
  <si>
    <t>A0</t>
  </si>
  <si>
    <t>B0</t>
  </si>
  <si>
    <t>RPS</t>
  </si>
  <si>
    <t xml:space="preserve"> Occupancy Sensor</t>
  </si>
  <si>
    <t>x</t>
  </si>
  <si>
    <t>Window Handle</t>
  </si>
  <si>
    <t>Window Handle ERP2</t>
  </si>
  <si>
    <t>Rocker 
1
2
4</t>
  </si>
  <si>
    <t>P4</t>
  </si>
  <si>
    <t>P9</t>
  </si>
  <si>
    <t>Profil selection</t>
  </si>
  <si>
    <t>Selection 1BS</t>
  </si>
  <si>
    <t>Selection 4BS</t>
  </si>
  <si>
    <t>Selection VLD</t>
  </si>
  <si>
    <t>Direction KNX - Enocean</t>
  </si>
  <si>
    <t>Selection RPS</t>
  </si>
  <si>
    <t>A5-07</t>
  </si>
  <si>
    <t>A5-02</t>
  </si>
  <si>
    <t>A5-04</t>
  </si>
  <si>
    <t>A5-05</t>
  </si>
  <si>
    <t>A5-06</t>
  </si>
  <si>
    <t>A5-08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</si>
  <si>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</si>
  <si>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</si>
  <si>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</si>
  <si>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</si>
  <si>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</si>
  <si>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</si>
  <si>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</si>
  <si>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</si>
  <si>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</si>
  <si>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</si>
  <si>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</si>
  <si>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</si>
  <si>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A5-09</t>
  </si>
  <si>
    <t>A5-10</t>
  </si>
  <si>
    <t>A5-11</t>
  </si>
  <si>
    <t>A5-12</t>
  </si>
  <si>
    <t>A5-13</t>
  </si>
  <si>
    <t>A5-14</t>
  </si>
  <si>
    <t>A5-20</t>
  </si>
  <si>
    <t>A5-30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</si>
  <si>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</si>
  <si>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</si>
  <si>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</si>
  <si>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</si>
  <si>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</si>
  <si>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</si>
  <si>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</si>
  <si>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</si>
  <si>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</si>
  <si>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</si>
  <si>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</si>
  <si>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</si>
  <si>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</si>
  <si>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</si>
  <si>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</si>
  <si>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</si>
  <si>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UP26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</si>
  <si>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</si>
  <si>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</si>
  <si>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</si>
  <si>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</si>
  <si>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</si>
  <si>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</si>
  <si>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</si>
  <si>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</si>
  <si>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</si>
  <si>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</si>
  <si>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</si>
  <si>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</si>
  <si>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</si>
  <si>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</si>
  <si>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</si>
  <si>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</si>
  <si>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D2-00</t>
  </si>
  <si>
    <t>D2-01</t>
  </si>
  <si>
    <t>D2-02</t>
  </si>
  <si>
    <t>D2-03</t>
  </si>
  <si>
    <t>D2-04</t>
  </si>
  <si>
    <t>D2-05</t>
  </si>
  <si>
    <t>D2-06</t>
  </si>
  <si>
    <t>D2-10</t>
  </si>
  <si>
    <t>D2-11</t>
  </si>
  <si>
    <t>D2-20</t>
  </si>
  <si>
    <t>D2-30</t>
  </si>
  <si>
    <t>D2-31</t>
  </si>
  <si>
    <t>D2-32</t>
  </si>
  <si>
    <t>D2-33</t>
  </si>
  <si>
    <t>D2-34</t>
  </si>
  <si>
    <t>D2-40</t>
  </si>
  <si>
    <t>D2-50</t>
  </si>
  <si>
    <t>D2-A0</t>
  </si>
  <si>
    <t>D2-B0</t>
  </si>
  <si>
    <t>ProfilSelection</t>
  </si>
  <si>
    <t>ProfilSelectionVLD</t>
  </si>
  <si>
    <t>ProfilSelection4BS</t>
  </si>
  <si>
    <t>DirKnxEnocean</t>
  </si>
  <si>
    <t>RockerProfil</t>
  </si>
  <si>
    <t>RockerASzeneA</t>
  </si>
  <si>
    <t>RockerASzeneB</t>
  </si>
  <si>
    <t>KanalBeschreibung</t>
  </si>
  <si>
    <t>ProfilRockerFunktionKNX</t>
  </si>
  <si>
    <t>RockerFunktionA</t>
  </si>
  <si>
    <t>RockerFunktionB</t>
  </si>
  <si>
    <t>RockerBSzeneA</t>
  </si>
  <si>
    <t>RockerBSzeneB</t>
  </si>
  <si>
    <t>RockerABSzeneA</t>
  </si>
  <si>
    <t>RockerABSzeneB</t>
  </si>
  <si>
    <t>RockerFunktionAB</t>
  </si>
  <si>
    <t>OUT_CH_1_DPT_01</t>
  </si>
  <si>
    <t>IN_CH_1_DPT_01</t>
  </si>
  <si>
    <t>OUT_CH_1_DPT_03</t>
  </si>
  <si>
    <t>OUT_CH_1_DPT_17</t>
  </si>
  <si>
    <t>Blinds</t>
  </si>
  <si>
    <t>Szene</t>
  </si>
  <si>
    <t>Door/Window</t>
  </si>
  <si>
    <t>OUT_CH_1_DPT_09</t>
  </si>
  <si>
    <t>UT_CH_1_DPT_01</t>
  </si>
  <si>
    <t>PIR</t>
  </si>
  <si>
    <t>LUX</t>
  </si>
  <si>
    <t>Bat voltage</t>
  </si>
  <si>
    <t>DPT1.001</t>
  </si>
  <si>
    <t>DPT1.002</t>
  </si>
  <si>
    <t>DPT3.007</t>
  </si>
  <si>
    <t>DPT3.008</t>
  </si>
  <si>
    <t>DPT17.001</t>
  </si>
  <si>
    <t>DPT1.019</t>
  </si>
  <si>
    <t>DPT1.018</t>
  </si>
  <si>
    <t>DPT9.004</t>
  </si>
  <si>
    <t>DPT9.020</t>
  </si>
  <si>
    <t>Door/window offen</t>
  </si>
  <si>
    <t>Door/window gekippt</t>
  </si>
  <si>
    <t>CO2</t>
  </si>
  <si>
    <t>DPT9.008</t>
  </si>
  <si>
    <t>Temp</t>
  </si>
  <si>
    <t>DPT9.001</t>
  </si>
  <si>
    <t>DPT9.007</t>
  </si>
  <si>
    <t>Hum</t>
  </si>
  <si>
    <t>Day/night</t>
  </si>
  <si>
    <t>DPT5.010</t>
  </si>
  <si>
    <t>Out_CH1_DPT_05</t>
  </si>
  <si>
    <t>CH1 Status</t>
  </si>
  <si>
    <t>DPT1.011</t>
  </si>
  <si>
    <t>CH2 Status</t>
  </si>
  <si>
    <t>Light Sensor</t>
  </si>
  <si>
    <t>Temp + Hum</t>
  </si>
  <si>
    <t>IN_CH_1_DPT_03</t>
  </si>
  <si>
    <t>Dimmen</t>
  </si>
  <si>
    <t>Konnekting</t>
  </si>
  <si>
    <t>ETS*</t>
  </si>
  <si>
    <t xml:space="preserve"> </t>
  </si>
  <si>
    <t>Fenstergriff</t>
  </si>
  <si>
    <t>Fenstergriff (ERP2)</t>
  </si>
  <si>
    <t>Fensterkontakt</t>
  </si>
  <si>
    <t>NodOn 2CH Aktor</t>
  </si>
  <si>
    <t>CO2, Hum, Temp</t>
  </si>
  <si>
    <t>ID</t>
  </si>
  <si>
    <t>Beschreibung</t>
  </si>
  <si>
    <t>Profil</t>
  </si>
  <si>
    <t>tested</t>
  </si>
  <si>
    <t>Press</t>
  </si>
  <si>
    <t>AI</t>
  </si>
  <si>
    <t>BI</t>
  </si>
  <si>
    <t>CI</t>
  </si>
  <si>
    <t>DI</t>
  </si>
  <si>
    <t>C0</t>
  </si>
  <si>
    <t>D0</t>
  </si>
  <si>
    <t>B1</t>
  </si>
  <si>
    <t>B2</t>
  </si>
  <si>
    <t>B7</t>
  </si>
  <si>
    <t>B6</t>
  </si>
  <si>
    <t>B5</t>
  </si>
  <si>
    <t>B4</t>
  </si>
  <si>
    <t>B3</t>
  </si>
  <si>
    <t>1st Action</t>
  </si>
  <si>
    <t>2nd Action</t>
  </si>
  <si>
    <t>EB</t>
  </si>
  <si>
    <t>SA</t>
  </si>
  <si>
    <t>release</t>
  </si>
  <si>
    <t>request Values</t>
  </si>
  <si>
    <t>schalten Aktor CH2</t>
  </si>
  <si>
    <t>schalten Aktor CH1</t>
  </si>
  <si>
    <t>OUT_CH_1_DPT_05</t>
  </si>
  <si>
    <t>Jalousie Status</t>
  </si>
  <si>
    <t>DPT5.004</t>
  </si>
  <si>
    <t>Jalousie Winkel</t>
  </si>
  <si>
    <t>schalten A</t>
  </si>
  <si>
    <t>schalten B</t>
  </si>
  <si>
    <t>Bitoffset</t>
  </si>
  <si>
    <t>Databyte</t>
  </si>
  <si>
    <t>DB_0</t>
  </si>
  <si>
    <t>DB_1</t>
  </si>
  <si>
    <t>DB_2</t>
  </si>
  <si>
    <t>DB_3</t>
  </si>
  <si>
    <t>DB_Bits</t>
  </si>
  <si>
    <t>HUM</t>
  </si>
  <si>
    <t>TEMP</t>
  </si>
  <si>
    <t>DN</t>
  </si>
  <si>
    <t>BAT</t>
  </si>
  <si>
    <t>DEZ</t>
  </si>
  <si>
    <t>HEX</t>
  </si>
  <si>
    <t>Supply Voltage</t>
  </si>
  <si>
    <t>ILL2</t>
  </si>
  <si>
    <t>ILL1</t>
  </si>
  <si>
    <t>RS</t>
  </si>
  <si>
    <t>LR</t>
  </si>
  <si>
    <t>Supply</t>
  </si>
  <si>
    <t>ILL</t>
  </si>
  <si>
    <t>F9 (MSB)</t>
  </si>
  <si>
    <t>C0 (LSB)</t>
  </si>
  <si>
    <t>EEP-Profil</t>
  </si>
  <si>
    <t>ARDUINO</t>
  </si>
  <si>
    <t>FF</t>
  </si>
  <si>
    <t>passed</t>
  </si>
  <si>
    <t>Rocker Switch 2 wipp</t>
  </si>
  <si>
    <t>Rocker Switch 1 wipp</t>
  </si>
  <si>
    <t>SVC</t>
  </si>
  <si>
    <t>CT</t>
  </si>
  <si>
    <t>SVC (0..5V)(0..250)</t>
  </si>
  <si>
    <t>ILL(0..1000lx)(0...250)</t>
  </si>
  <si>
    <t>VIB</t>
  </si>
  <si>
    <t>A5-14-07</t>
  </si>
  <si>
    <t>LCT</t>
  </si>
  <si>
    <t>DCT</t>
  </si>
  <si>
    <t>A5-14-08</t>
  </si>
  <si>
    <t>A5-14-09</t>
  </si>
  <si>
    <t>A5-14-0A</t>
  </si>
  <si>
    <t>Bits</t>
  </si>
  <si>
    <t>Out_CH1_DPT_01</t>
  </si>
  <si>
    <t>Bool (Vibration det)</t>
  </si>
  <si>
    <t>Open/close</t>
  </si>
  <si>
    <t>DPT1.009</t>
  </si>
  <si>
    <t>volt</t>
  </si>
  <si>
    <t>Vib</t>
  </si>
  <si>
    <t>cont</t>
  </si>
  <si>
    <t>Illu</t>
  </si>
  <si>
    <t>1 2</t>
  </si>
  <si>
    <t>A5-04-04</t>
  </si>
  <si>
    <t>A5-06-04</t>
  </si>
  <si>
    <t>A5-06-05</t>
  </si>
  <si>
    <t>A5-09-0C</t>
  </si>
  <si>
    <t>A5-10-22</t>
  </si>
  <si>
    <t>A5-10-23</t>
  </si>
  <si>
    <t>A5-11-05</t>
  </si>
  <si>
    <t>A5-13-07</t>
  </si>
  <si>
    <t>A5-13-08</t>
  </si>
  <si>
    <t>A5-20-05</t>
  </si>
  <si>
    <t>A5-20-06</t>
  </si>
  <si>
    <t>A5-30-06</t>
  </si>
  <si>
    <t>D2-01-15</t>
  </si>
  <si>
    <t>D2-01-16</t>
  </si>
  <si>
    <t>D2-03-10</t>
  </si>
  <si>
    <t>D2-03-20</t>
  </si>
  <si>
    <t>D2-03-0A</t>
  </si>
  <si>
    <t>D2-04-0A</t>
  </si>
  <si>
    <t>D2-04-1F</t>
  </si>
  <si>
    <t>D2-05-03</t>
  </si>
  <si>
    <t>D2-05-04</t>
  </si>
  <si>
    <t>D2-05-05</t>
  </si>
  <si>
    <t>D2-06-10</t>
  </si>
  <si>
    <t>D2-06-20</t>
  </si>
  <si>
    <t>D2-06-40</t>
  </si>
  <si>
    <t>D2-06-50</t>
  </si>
  <si>
    <t>D2-07-00</t>
  </si>
  <si>
    <t>D2-0A-00</t>
  </si>
  <si>
    <t>D2-0A-01</t>
  </si>
  <si>
    <t>D2-10-30</t>
  </si>
  <si>
    <t>D2-10-31</t>
  </si>
  <si>
    <t>D2-10-32</t>
  </si>
  <si>
    <t>D2-11-20</t>
  </si>
  <si>
    <t>D2-14-00</t>
  </si>
  <si>
    <t>D2-14-01</t>
  </si>
  <si>
    <t>D2-14-02</t>
  </si>
  <si>
    <t>D2-14-03</t>
  </si>
  <si>
    <t>D2-14-04</t>
  </si>
  <si>
    <t>D2-14-05</t>
  </si>
  <si>
    <t>D2-14-06</t>
  </si>
  <si>
    <t>D2-14-07</t>
  </si>
  <si>
    <t>D2-14-08</t>
  </si>
  <si>
    <t>D2-14-09</t>
  </si>
  <si>
    <t>D2-14-10</t>
  </si>
  <si>
    <t>D2-14-0A</t>
  </si>
  <si>
    <t>D2-14-0B</t>
  </si>
  <si>
    <t>D2-14-0C</t>
  </si>
  <si>
    <t>D2-14-0D</t>
  </si>
  <si>
    <t>D2-14-0E</t>
  </si>
  <si>
    <t>D2-14-0F</t>
  </si>
  <si>
    <t>D2-14-20</t>
  </si>
  <si>
    <t>D2-14-21</t>
  </si>
  <si>
    <t>D2-14-22</t>
  </si>
  <si>
    <t>D2-14-23</t>
  </si>
  <si>
    <t>D2-14-24</t>
  </si>
  <si>
    <t>D2-14-25</t>
  </si>
  <si>
    <t>D2-14-1A</t>
  </si>
  <si>
    <t>D2-14-1B</t>
  </si>
  <si>
    <t>D2-14-1C</t>
  </si>
  <si>
    <t>D2-14-1D</t>
  </si>
  <si>
    <t>D2-14-30</t>
  </si>
  <si>
    <t>D2-14-31</t>
  </si>
  <si>
    <t>D2-14-40</t>
  </si>
  <si>
    <t>D2-14-41</t>
  </si>
  <si>
    <t>D2-14-50</t>
  </si>
  <si>
    <t>D2-14-51</t>
  </si>
  <si>
    <t>D2-14-52</t>
  </si>
  <si>
    <t>D2-14-53</t>
  </si>
  <si>
    <t>D2-14-54</t>
  </si>
  <si>
    <t>D2-14-55</t>
  </si>
  <si>
    <t>D2-15-00</t>
  </si>
  <si>
    <t>D2-B0-00</t>
  </si>
  <si>
    <t>D2-B1-00</t>
  </si>
  <si>
    <t>F6-01-01</t>
  </si>
  <si>
    <t>F6-05-00</t>
  </si>
  <si>
    <t>F6-05-02</t>
  </si>
  <si>
    <t>0A</t>
  </si>
  <si>
    <t>BIT</t>
  </si>
  <si>
    <t>UP5</t>
  </si>
  <si>
    <t>UP6</t>
  </si>
  <si>
    <t>UP7</t>
  </si>
  <si>
    <t>UP8</t>
  </si>
  <si>
    <t>ProfilSelection_EEP</t>
  </si>
  <si>
    <t>ID Nibble2</t>
  </si>
  <si>
    <t>ID Nibble3</t>
  </si>
  <si>
    <t>ID Nibble4</t>
  </si>
  <si>
    <t>ID Nibble5</t>
  </si>
  <si>
    <t>ID Nibble6</t>
  </si>
  <si>
    <t>ID Nibble7</t>
  </si>
  <si>
    <t>ID Nibble0</t>
  </si>
  <si>
    <t>ID Nibble1</t>
  </si>
  <si>
    <t>POS</t>
  </si>
  <si>
    <t>UP55</t>
  </si>
  <si>
    <t>UP56</t>
  </si>
  <si>
    <t>UP57</t>
  </si>
  <si>
    <t>UP58</t>
  </si>
  <si>
    <t>UP59</t>
  </si>
  <si>
    <t>UP60</t>
  </si>
  <si>
    <t>UP61</t>
  </si>
  <si>
    <t>UP62</t>
  </si>
  <si>
    <t>current Pos (0..100dec = %)</t>
  </si>
  <si>
    <t>LOM</t>
  </si>
  <si>
    <t>LO (local offset)</t>
  </si>
  <si>
    <t>TSL</t>
  </si>
  <si>
    <t>ENIE</t>
  </si>
  <si>
    <t>ES</t>
  </si>
  <si>
    <t>DWO</t>
  </si>
  <si>
    <t>RCE</t>
  </si>
  <si>
    <t>RSS</t>
  </si>
  <si>
    <t>ACO</t>
  </si>
  <si>
    <t>empfang</t>
  </si>
  <si>
    <t>senden</t>
  </si>
  <si>
    <t>pos / Temp set point</t>
  </si>
  <si>
    <t>Temp from RCU</t>
  </si>
  <si>
    <t>REF</t>
  </si>
  <si>
    <t>RFC</t>
  </si>
  <si>
    <t>SB</t>
  </si>
  <si>
    <t>SPS</t>
  </si>
  <si>
    <t>SBY</t>
  </si>
  <si>
    <t>0--100%</t>
  </si>
  <si>
    <t>Temp offset</t>
  </si>
  <si>
    <t>Status Bytes</t>
  </si>
  <si>
    <t xml:space="preserve">Ventil Pos in % </t>
  </si>
  <si>
    <t>Stutus 8 bits</t>
  </si>
  <si>
    <t>Temp Offset</t>
  </si>
  <si>
    <t>IN_CH_1_DPT_05</t>
  </si>
  <si>
    <t>IN_CH_1_DPT_09</t>
  </si>
  <si>
    <t>IN_CH1_DPT_05</t>
  </si>
  <si>
    <t>impl.</t>
  </si>
  <si>
    <t>DPT1.005</t>
  </si>
  <si>
    <t>Alarm Energy Low</t>
  </si>
  <si>
    <t xml:space="preserve">Alarm </t>
  </si>
  <si>
    <t>UP63</t>
  </si>
  <si>
    <t>D2-14</t>
  </si>
  <si>
    <t>BELEGT  OBEN D2-14</t>
  </si>
  <si>
    <t>Set Temp</t>
  </si>
  <si>
    <t>Set Pos</t>
  </si>
  <si>
    <t xml:space="preserve">Raum Temperatur </t>
  </si>
  <si>
    <t>Reference RUN</t>
  </si>
  <si>
    <t>KO_0</t>
  </si>
  <si>
    <t>KO_1</t>
  </si>
  <si>
    <t>KO_2</t>
  </si>
  <si>
    <t>KO_3</t>
  </si>
  <si>
    <t>KO_4</t>
  </si>
  <si>
    <t>KO_5</t>
  </si>
  <si>
    <t>KO_6</t>
  </si>
  <si>
    <t>KO_7</t>
  </si>
  <si>
    <t>KO_8</t>
  </si>
  <si>
    <t>KO_9</t>
  </si>
  <si>
    <r>
      <rPr>
        <b/>
        <sz val="11"/>
        <color theme="1"/>
        <rFont val="Calibri"/>
        <family val="2"/>
        <scheme val="minor"/>
      </rPr>
      <t xml:space="preserve">Input: </t>
    </r>
    <r>
      <rPr>
        <sz val="11"/>
        <color theme="1"/>
        <rFont val="Calibri"/>
        <family val="2"/>
        <scheme val="minor"/>
      </rPr>
      <t>Set Temp &amp; Set Pos</t>
    </r>
  </si>
  <si>
    <t>Input: RaumTemp</t>
  </si>
  <si>
    <t>O: current pos 0...100%</t>
  </si>
  <si>
    <t>O: Temperatur</t>
  </si>
  <si>
    <t>O: Temperatur  Offset</t>
  </si>
  <si>
    <t>O: Status Bits</t>
  </si>
  <si>
    <t>A52006RFC</t>
  </si>
  <si>
    <t>UP64</t>
  </si>
  <si>
    <t>A52006SPS</t>
  </si>
  <si>
    <t>A52006TSL</t>
  </si>
  <si>
    <t>UP67</t>
  </si>
  <si>
    <t>Bit Pos</t>
  </si>
  <si>
    <t>4-6</t>
  </si>
  <si>
    <t>Input: Summer Bit</t>
  </si>
  <si>
    <t>Input: Standby</t>
  </si>
  <si>
    <t>Sommer Schaltung</t>
  </si>
  <si>
    <t>Standby</t>
  </si>
  <si>
    <t>DPT1.003</t>
  </si>
  <si>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>: single click</t>
    </r>
  </si>
  <si>
    <r>
      <rPr>
        <b/>
        <sz val="11"/>
        <color theme="1"/>
        <rFont val="Calibri"/>
        <family val="2"/>
        <scheme val="minor"/>
      </rPr>
      <t xml:space="preserve">Output: </t>
    </r>
    <r>
      <rPr>
        <sz val="11"/>
        <color theme="1"/>
        <rFont val="Calibri"/>
        <family val="2"/>
        <scheme val="minor"/>
      </rPr>
      <t>double click</t>
    </r>
  </si>
  <si>
    <r>
      <rPr>
        <b/>
        <sz val="11"/>
        <color theme="1"/>
        <rFont val="Calibri"/>
        <family val="2"/>
        <scheme val="minor"/>
      </rPr>
      <t>Output:</t>
    </r>
    <r>
      <rPr>
        <sz val="11"/>
        <color theme="1"/>
        <rFont val="Calibri"/>
        <family val="2"/>
        <scheme val="minor"/>
      </rPr>
      <t xml:space="preserve"> long click</t>
    </r>
  </si>
  <si>
    <t>(x)</t>
  </si>
  <si>
    <t>double Press</t>
  </si>
  <si>
    <t>Output: Smoke alarm</t>
  </si>
  <si>
    <t>Output: Status</t>
  </si>
  <si>
    <t>Output: ES (Energy Status)</t>
  </si>
  <si>
    <t>Output: RPLT (Product life T)</t>
  </si>
  <si>
    <t>Output: TMP8 (Temp)</t>
  </si>
  <si>
    <t>Output: Hum</t>
  </si>
  <si>
    <t>Output: HCI (Comfort Index)</t>
  </si>
  <si>
    <t>Output: IAQTH (AIR Quality)</t>
  </si>
  <si>
    <t xml:space="preserve">Output: Time since last </t>
  </si>
  <si>
    <t>Product Life time</t>
  </si>
  <si>
    <t>HCI Human Comnfort Index</t>
  </si>
  <si>
    <t xml:space="preserve">AIR Quality </t>
  </si>
  <si>
    <t>Time since last maintance</t>
  </si>
  <si>
    <t>DB_5</t>
  </si>
  <si>
    <t>DB_4</t>
  </si>
  <si>
    <t>Status Bits</t>
  </si>
  <si>
    <t>HCI</t>
  </si>
  <si>
    <t>IAQTH</t>
  </si>
  <si>
    <t>AF</t>
  </si>
  <si>
    <t>TMP8 (34°C)</t>
  </si>
  <si>
    <t>HUM (85%)</t>
  </si>
  <si>
    <t>RPLT (170)</t>
  </si>
  <si>
    <t>Time since last Event (85)</t>
  </si>
  <si>
    <t>Nr</t>
  </si>
  <si>
    <t>Rocker Switch 1Wippe</t>
  </si>
  <si>
    <t>Rocker Switch 2Wippen</t>
  </si>
  <si>
    <t>MVA-005 Heizungsaktor</t>
  </si>
  <si>
    <t>NodOn TSB-2-2-01</t>
  </si>
  <si>
    <t>5A</t>
  </si>
  <si>
    <t xml:space="preserve">Repeater ON OFF </t>
  </si>
  <si>
    <r>
      <rPr>
        <b/>
        <sz val="11"/>
        <color theme="1"/>
        <rFont val="Calibri"/>
        <family val="2"/>
        <scheme val="minor"/>
      </rPr>
      <t>Output:</t>
    </r>
    <r>
      <rPr>
        <sz val="11"/>
        <color theme="1"/>
        <rFont val="Calibri"/>
        <family val="2"/>
        <scheme val="minor"/>
      </rPr>
      <t xml:space="preserve"> long release</t>
    </r>
  </si>
  <si>
    <t>Battery</t>
  </si>
  <si>
    <t>Teach In</t>
  </si>
  <si>
    <t>Manufacture-ID</t>
  </si>
  <si>
    <t>Typ</t>
  </si>
  <si>
    <t>stat</t>
  </si>
  <si>
    <t>dec to hex</t>
  </si>
  <si>
    <t xml:space="preserve">Func </t>
  </si>
  <si>
    <t xml:space="preserve">TYPE </t>
  </si>
  <si>
    <t>HEZ</t>
  </si>
  <si>
    <t>°C/%</t>
  </si>
  <si>
    <t>?</t>
  </si>
  <si>
    <t>union 1 Bytes</t>
  </si>
  <si>
    <t>UP65</t>
  </si>
  <si>
    <t>Out: Battery</t>
  </si>
  <si>
    <t>A51409closeValue</t>
  </si>
  <si>
    <t>UP66</t>
  </si>
  <si>
    <t>A5-06-01-V2</t>
  </si>
  <si>
    <t>Dämmerungssensor TF-AHDSB</t>
  </si>
  <si>
    <t>Input: CHA</t>
  </si>
  <si>
    <t xml:space="preserve">Input CHB </t>
  </si>
  <si>
    <t>Output: Status CHA</t>
  </si>
  <si>
    <t>Output: Status CHB</t>
  </si>
  <si>
    <t>Input: Statuswerte</t>
  </si>
  <si>
    <t>Base-ID Ändern</t>
  </si>
  <si>
    <t>Repeater Level</t>
  </si>
  <si>
    <t>P100000</t>
  </si>
  <si>
    <t>P100001</t>
  </si>
  <si>
    <t>UP100002</t>
  </si>
  <si>
    <t>UP100003</t>
  </si>
  <si>
    <t>UP100004</t>
  </si>
  <si>
    <t>UP100005</t>
  </si>
  <si>
    <t>UP100006</t>
  </si>
  <si>
    <t>UP100007</t>
  </si>
  <si>
    <t>UP100008</t>
  </si>
  <si>
    <t>UP100009</t>
  </si>
  <si>
    <t>P100010</t>
  </si>
  <si>
    <t>Input: Com Intervall</t>
  </si>
  <si>
    <t>A5-08-01/03</t>
  </si>
  <si>
    <t>Out: LUX</t>
  </si>
  <si>
    <t>Out: PIR</t>
  </si>
  <si>
    <t>Pressed / release</t>
  </si>
  <si>
    <t>O: OCC pressed/released</t>
  </si>
  <si>
    <t>Temp Berechnung</t>
  </si>
  <si>
    <t>°C</t>
  </si>
  <si>
    <t>FE</t>
  </si>
  <si>
    <t>EE</t>
  </si>
  <si>
    <t>6E</t>
  </si>
  <si>
    <t>4F</t>
  </si>
  <si>
    <t>9E</t>
  </si>
  <si>
    <t>3B</t>
  </si>
  <si>
    <t>6D</t>
  </si>
  <si>
    <t>2E</t>
  </si>
  <si>
    <t>AES128</t>
  </si>
  <si>
    <t>4BYte CMAC</t>
  </si>
  <si>
    <t>3BYte Rolling Code</t>
  </si>
  <si>
    <t>Teach-Info</t>
  </si>
  <si>
    <t>0x00</t>
  </si>
  <si>
    <t>Security Layer format</t>
  </si>
  <si>
    <t>SLF_DATA_ENC | SLF_MAC_4Byte | SLF_RLC_ALGO_24Bit</t>
  </si>
  <si>
    <t>Security Key</t>
  </si>
  <si>
    <t>0x45</t>
  </si>
  <si>
    <t>0x6E</t>
  </si>
  <si>
    <t>0x47</t>
  </si>
  <si>
    <t>0x63</t>
  </si>
  <si>
    <t>0x65</t>
  </si>
  <si>
    <t>0x61</t>
  </si>
  <si>
    <t>0x20</t>
  </si>
  <si>
    <t>0x6D</t>
  </si>
  <si>
    <t>0x62</t>
  </si>
  <si>
    <t>0x48</t>
  </si>
  <si>
    <t>0x2E</t>
  </si>
  <si>
    <t>0x31</t>
  </si>
  <si>
    <t>0x33</t>
  </si>
  <si>
    <t>Rolling Code</t>
  </si>
  <si>
    <t>0xC0FFEE</t>
  </si>
  <si>
    <r>
      <t>0x0</t>
    </r>
    <r>
      <rPr>
        <sz val="11"/>
        <color rgb="FFFF0000"/>
        <rFont val="Calibri"/>
        <family val="2"/>
        <scheme val="minor"/>
      </rPr>
      <t>4</t>
    </r>
  </si>
  <si>
    <t>4B</t>
  </si>
  <si>
    <t>0x4B</t>
  </si>
  <si>
    <t>0x93</t>
  </si>
  <si>
    <r>
      <t>0x0</t>
    </r>
    <r>
      <rPr>
        <sz val="11"/>
        <color rgb="FFFF0000"/>
        <rFont val="Calibri"/>
        <family val="2"/>
        <scheme val="minor"/>
      </rPr>
      <t>0</t>
    </r>
  </si>
  <si>
    <t>SLF_DATA_ENC_VAES128 | SLF_MAC_4Byte | SLF_RLC_ALGO_24Bit</t>
  </si>
  <si>
    <t>Anzahl Nachrichten</t>
  </si>
  <si>
    <r>
      <t>0x</t>
    </r>
    <r>
      <rPr>
        <b/>
        <sz val="11"/>
        <color theme="7" tint="-0.249977111117893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0</t>
    </r>
  </si>
  <si>
    <r>
      <t>0x</t>
    </r>
    <r>
      <rPr>
        <sz val="11"/>
        <color theme="7" tint="-0.249977111117893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0</t>
    </r>
  </si>
  <si>
    <r>
      <t>0x</t>
    </r>
    <r>
      <rPr>
        <sz val="11"/>
        <color theme="7" tint="-0.249977111117893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4</t>
    </r>
  </si>
  <si>
    <t xml:space="preserve">Beispiel Taster </t>
  </si>
  <si>
    <t>CE</t>
  </si>
  <si>
    <t>BF</t>
  </si>
  <si>
    <t>C6</t>
  </si>
  <si>
    <t>1C</t>
  </si>
  <si>
    <t>DF</t>
  </si>
  <si>
    <t>0x28CE</t>
  </si>
  <si>
    <t>FB</t>
  </si>
  <si>
    <t>BE</t>
  </si>
  <si>
    <t>E4</t>
  </si>
  <si>
    <t>AD</t>
  </si>
  <si>
    <t>1B</t>
  </si>
  <si>
    <t>FA</t>
  </si>
  <si>
    <t xml:space="preserve">Enocean  ID </t>
  </si>
  <si>
    <t>0xBF</t>
  </si>
  <si>
    <t>0x28</t>
  </si>
  <si>
    <t xml:space="preserve">TYP STM </t>
  </si>
  <si>
    <t xml:space="preserve">TYP PTM </t>
  </si>
  <si>
    <t>2BYte Rolling Code</t>
  </si>
  <si>
    <t>3BYte CMAC</t>
  </si>
  <si>
    <t>3E</t>
  </si>
  <si>
    <t>2D</t>
  </si>
  <si>
    <t>0x3E"D</t>
  </si>
  <si>
    <t>TEACH_INFO_PTM | TEACH_INFO_PTM_ROCKERA</t>
  </si>
  <si>
    <t>SLF_DATA_ENC_VAES128 | SLF_MAC_3Byte | SLF_RLC_ALGO_16Bit</t>
  </si>
  <si>
    <t>Teach-IN INFO</t>
  </si>
  <si>
    <t>IDX</t>
  </si>
  <si>
    <t>CNT</t>
  </si>
  <si>
    <t>INFO</t>
  </si>
  <si>
    <t>PSK</t>
  </si>
  <si>
    <t>Type</t>
  </si>
  <si>
    <t>Field IDX</t>
  </si>
  <si>
    <t>A tech-in message can be divided in several telegrams. This field indicates the order of those telegrams. The first telegram receives the IDX = 0. In the case that the teach-in message is not divided the IDX shall be set to 0 and this message is the only one.</t>
  </si>
  <si>
    <t>Field CNT</t>
  </si>
  <si>
    <t>If IDX = 0</t>
  </si>
  <si>
    <t>CNT indicates the number of telegrams that the message is divided into</t>
  </si>
  <si>
    <t>If IDX not 0</t>
  </si>
  <si>
    <t>This field is reserved</t>
  </si>
  <si>
    <t>Field PSK</t>
  </si>
  <si>
    <t>0 = The RLC and the KEY are not encrypted</t>
  </si>
  <si>
    <t>1 = The RLC and the KEY are encrypted with the pre-shared key. See 4.2</t>
  </si>
  <si>
    <t>Field TYPE</t>
  </si>
  <si>
    <t>Indicates if the application is a PTM or not</t>
  </si>
  <si>
    <t>1) Non-specific type</t>
  </si>
  <si>
    <t>2) PTM</t>
  </si>
  <si>
    <t>Field INFO</t>
  </si>
  <si>
    <t>If IDX = 0 and TYPE = 0</t>
  </si>
  <si>
    <t>0 = Unidirectional security teach-in procedure</t>
  </si>
  <si>
    <t>1 = Bidirectional teach-in procedure</t>
  </si>
  <si>
    <t>If IDX = 0 and TYPE = 1</t>
  </si>
  <si>
    <t>0 = ROCKER A normal Teach In</t>
  </si>
  <si>
    <t>1 = ROCKER B normal Teach In</t>
  </si>
  <si>
    <t>The interpretation of this field depends on the code in Field (Field IDX)</t>
  </si>
  <si>
    <t>SLF</t>
  </si>
  <si>
    <t xml:space="preserve">BSP </t>
  </si>
  <si>
    <t>RLC_ALGO</t>
  </si>
  <si>
    <t>MAC_ALGO</t>
  </si>
  <si>
    <t>DATA_ENC</t>
  </si>
  <si>
    <t>=0x4B</t>
  </si>
  <si>
    <t>Rocker</t>
  </si>
  <si>
    <t xml:space="preserve">Rocker </t>
  </si>
  <si>
    <t>Wippe A: Dimming/blinds</t>
  </si>
  <si>
    <t>Wippe B: Dimming/blinds</t>
  </si>
  <si>
    <t>Wippe AB: Dimming/blinds</t>
  </si>
  <si>
    <t>Wippe A: Schalten/Szene/fahren</t>
  </si>
  <si>
    <t>DPT1.008</t>
  </si>
  <si>
    <t>Input: schalten/Dim/blinds</t>
  </si>
  <si>
    <t>schalten rocker</t>
  </si>
  <si>
    <t>single Presss</t>
  </si>
  <si>
    <t>Long Press</t>
  </si>
  <si>
    <t>long release</t>
  </si>
  <si>
    <t>Wippe A: schalten</t>
  </si>
  <si>
    <t>Wippe A: fahren AUF / AB</t>
  </si>
  <si>
    <t>Wippe A: Szene</t>
  </si>
  <si>
    <t>Wippe A: Dimming</t>
  </si>
  <si>
    <t>Wippe A: Lamelle/Stopp</t>
  </si>
  <si>
    <t>Wippe B: schalten</t>
  </si>
  <si>
    <t>Wippe B: fahren AUF / AB</t>
  </si>
  <si>
    <t>Wippe B: Szene</t>
  </si>
  <si>
    <t>Wippe B: Dimming</t>
  </si>
  <si>
    <t>Wippe B: Lamelle/Stopp</t>
  </si>
  <si>
    <t>Wippe AB: schalten</t>
  </si>
  <si>
    <t>Wippe AB: fahren AUF / AB</t>
  </si>
  <si>
    <t>Wippe AB: Szene</t>
  </si>
  <si>
    <t>Wippe AB: Dimming</t>
  </si>
  <si>
    <t>Wippe AB: Lammelenwinkel/Stop</t>
  </si>
  <si>
    <t>RockerLongPressWaitTime</t>
  </si>
  <si>
    <t>UP68</t>
  </si>
  <si>
    <t>Wippe B: Schalten/Szene/fahren</t>
  </si>
  <si>
    <t>Wippe AB: Schalten/Szene/fahren</t>
  </si>
  <si>
    <t>D5-00-01-V2</t>
  </si>
  <si>
    <t>D5-00-01 V2</t>
  </si>
  <si>
    <t>Out: Battery voltage</t>
  </si>
  <si>
    <t>Out: Energy voltage</t>
  </si>
  <si>
    <t>Energie-Speicher (0..5V)</t>
  </si>
  <si>
    <t>UP69</t>
  </si>
  <si>
    <t>D5-00-01 Spg/Engery Values</t>
  </si>
  <si>
    <t>BELEGT  OBEN ProfilSelection_4BS</t>
  </si>
  <si>
    <t>Contact</t>
  </si>
  <si>
    <t>gesch</t>
  </si>
  <si>
    <t>offen</t>
  </si>
  <si>
    <t>O: Feed/setpoint  Temperatur</t>
  </si>
  <si>
    <r>
      <rPr>
        <b/>
        <sz val="11"/>
        <color theme="1"/>
        <rFont val="Calibri"/>
        <family val="2"/>
        <scheme val="minor"/>
      </rPr>
      <t xml:space="preserve">Input: </t>
    </r>
    <r>
      <rPr>
        <sz val="11"/>
        <color theme="1"/>
        <rFont val="Calibri"/>
        <family val="2"/>
        <scheme val="minor"/>
      </rPr>
      <t>Set Pos</t>
    </r>
  </si>
  <si>
    <r>
      <rPr>
        <b/>
        <sz val="11"/>
        <color theme="1"/>
        <rFont val="Calibri"/>
        <family val="2"/>
        <scheme val="minor"/>
      </rPr>
      <t xml:space="preserve">Input: </t>
    </r>
    <r>
      <rPr>
        <sz val="11"/>
        <color theme="1"/>
        <rFont val="Calibri"/>
        <family val="2"/>
        <scheme val="minor"/>
      </rPr>
      <t>Set Temp</t>
    </r>
  </si>
  <si>
    <t>Input: Button Lock</t>
  </si>
  <si>
    <t>Input: Run init</t>
  </si>
  <si>
    <t>Input: Service Command</t>
  </si>
  <si>
    <t>Service Command</t>
  </si>
  <si>
    <t>Failure Code</t>
  </si>
  <si>
    <t>Info Set Point Temp</t>
  </si>
  <si>
    <t>UP70</t>
  </si>
  <si>
    <t>A52001SPS</t>
  </si>
  <si>
    <t>A52004MC</t>
  </si>
  <si>
    <t>A52004DSO</t>
  </si>
  <si>
    <t>UP71</t>
  </si>
  <si>
    <t>UP72</t>
  </si>
  <si>
    <t>O: Failure Code</t>
  </si>
  <si>
    <t>O: Room Temp</t>
  </si>
  <si>
    <t>umrechnung auf 0 bis Werte</t>
  </si>
  <si>
    <t>Faktoren zum Umrechnen</t>
  </si>
  <si>
    <t xml:space="preserve">Test ob Umrechnung passt </t>
  </si>
  <si>
    <t>X</t>
  </si>
  <si>
    <t>Y</t>
  </si>
  <si>
    <t>Testwert</t>
  </si>
  <si>
    <t>Wert = Byte / X + Y</t>
  </si>
  <si>
    <t>RIN</t>
  </si>
  <si>
    <t>Service CMD</t>
  </si>
  <si>
    <t>SPN</t>
  </si>
  <si>
    <t>RCU</t>
  </si>
  <si>
    <t>Temp Set Point</t>
  </si>
  <si>
    <t>Pos Set Point</t>
  </si>
  <si>
    <t>MC</t>
  </si>
  <si>
    <t>WUC</t>
  </si>
  <si>
    <t>DSO</t>
  </si>
  <si>
    <t>BLC</t>
  </si>
  <si>
    <t>SER</t>
  </si>
  <si>
    <t>wakeup A5-20-04</t>
  </si>
  <si>
    <t>sek</t>
  </si>
  <si>
    <t>h</t>
  </si>
  <si>
    <t>Kommuniikations interval</t>
  </si>
  <si>
    <t>Button Lock</t>
  </si>
  <si>
    <t>UP73</t>
  </si>
  <si>
    <t>A52004WCU</t>
  </si>
  <si>
    <t>union 2 Bytes</t>
  </si>
  <si>
    <t>Vorlauf Temperatur</t>
  </si>
  <si>
    <t>Raum Temperatur</t>
  </si>
  <si>
    <t>Out: Fenster gekippt</t>
  </si>
  <si>
    <t>Out: Alarm</t>
  </si>
  <si>
    <t>Out: Hum</t>
  </si>
  <si>
    <t>Out: Fenster offen</t>
  </si>
  <si>
    <t>Taster 1</t>
  </si>
  <si>
    <t>Taster 2</t>
  </si>
  <si>
    <t>O: LUX</t>
  </si>
  <si>
    <t>O: TasterR &amp; Jal Auf/Ab</t>
  </si>
  <si>
    <t>O: TasterL &amp; Jal Auf/Ab</t>
  </si>
  <si>
    <t>geschlossen</t>
  </si>
  <si>
    <t>Status 1</t>
  </si>
  <si>
    <t>Status 2</t>
  </si>
  <si>
    <t>gekippt</t>
  </si>
  <si>
    <t>geöffnet</t>
  </si>
  <si>
    <t>window state</t>
  </si>
  <si>
    <t>handle down</t>
  </si>
  <si>
    <t>all others</t>
  </si>
  <si>
    <t>Out: Fenster Status1</t>
  </si>
  <si>
    <t>Out: Fenster Status2</t>
  </si>
  <si>
    <t>Fesnter Status 1</t>
  </si>
  <si>
    <t>Out: Alarm (Burglary)</t>
  </si>
  <si>
    <t>Battery (%)</t>
  </si>
  <si>
    <t>Out: Battery (%)</t>
  </si>
  <si>
    <t>O: Counter Status</t>
  </si>
  <si>
    <t>Counter Status</t>
  </si>
  <si>
    <t>OUT_CH_1_DPT_12</t>
  </si>
  <si>
    <t>DPT12.001</t>
  </si>
  <si>
    <t>Out: Fenster Status</t>
  </si>
  <si>
    <t xml:space="preserve">Fesnter Status </t>
  </si>
  <si>
    <t>Out: Change Battery</t>
  </si>
  <si>
    <t>Battery (%) (0h - 64h)</t>
  </si>
  <si>
    <t>Out: Battery (%) (0h-64h)</t>
  </si>
  <si>
    <t>LRN
Type</t>
  </si>
  <si>
    <t>EEP
Res</t>
  </si>
  <si>
    <t>LRN
Res</t>
  </si>
  <si>
    <t>LRN
Status</t>
  </si>
  <si>
    <t>LRN
Bit</t>
  </si>
  <si>
    <t>---</t>
  </si>
  <si>
    <t>Teach-in</t>
  </si>
  <si>
    <t>Query</t>
  </si>
  <si>
    <t>Response</t>
  </si>
  <si>
    <t>case of success</t>
  </si>
  <si>
    <t>0x80</t>
  </si>
  <si>
    <t>0xF0</t>
  </si>
  <si>
    <t>Input: CH</t>
  </si>
  <si>
    <t>Output: Status CH</t>
  </si>
  <si>
    <t>Input: Anfrage Messwerte</t>
  </si>
  <si>
    <t>Abfrage Messwerte</t>
  </si>
  <si>
    <t>Output DPT13</t>
  </si>
  <si>
    <t>DPT13.010</t>
  </si>
  <si>
    <t xml:space="preserve">Messwerte (Wh) </t>
  </si>
  <si>
    <t>Output: Messwert (Wh)</t>
  </si>
  <si>
    <t>Output: Messwert (KWh)</t>
  </si>
  <si>
    <t xml:space="preserve">Messwerte (KWh) </t>
  </si>
  <si>
    <t>DPT13.013</t>
  </si>
  <si>
    <t xml:space="preserve">Messwerte (W) </t>
  </si>
  <si>
    <t>Output DPT14</t>
  </si>
  <si>
    <t>DPT14.056</t>
  </si>
  <si>
    <t>Output: Messwert (W)</t>
  </si>
  <si>
    <t xml:space="preserve">Messwerte (KW) </t>
  </si>
  <si>
    <t>Output DPT9</t>
  </si>
  <si>
    <t>DPT9.024</t>
  </si>
  <si>
    <t>Output: Messwert (KW)</t>
  </si>
  <si>
    <t>UP74</t>
  </si>
  <si>
    <t>D2010EEP</t>
  </si>
  <si>
    <t>union 2</t>
  </si>
  <si>
    <t>UP75</t>
  </si>
  <si>
    <t>D2010ERM</t>
  </si>
  <si>
    <t>D2010EUNE</t>
  </si>
  <si>
    <t>UP76</t>
  </si>
  <si>
    <t>UP77</t>
  </si>
  <si>
    <t>D2010EUNP</t>
  </si>
  <si>
    <t>UP78</t>
  </si>
  <si>
    <t>D2010EMIT</t>
  </si>
  <si>
    <t>union 1</t>
  </si>
  <si>
    <t>D2010EMAT</t>
  </si>
  <si>
    <t>UP79</t>
  </si>
  <si>
    <t>union 3</t>
  </si>
  <si>
    <t>Abfrage Switch</t>
  </si>
  <si>
    <t>Fenster Status 2</t>
  </si>
  <si>
    <t>Status Switch</t>
  </si>
  <si>
    <t>UP80</t>
  </si>
  <si>
    <t>union 4</t>
  </si>
  <si>
    <t>union 5</t>
  </si>
  <si>
    <t>UP81</t>
  </si>
  <si>
    <t>D2010EdeltaEwh</t>
  </si>
  <si>
    <t>D2010EdeltaEkwh</t>
  </si>
  <si>
    <t>D2010EdeltaPw</t>
  </si>
  <si>
    <t>D2010EdeltaPkw</t>
  </si>
  <si>
    <t>UP82</t>
  </si>
  <si>
    <t>UP83</t>
  </si>
  <si>
    <t xml:space="preserve"> Output: Messwert (W)</t>
  </si>
  <si>
    <t>Tarif</t>
  </si>
  <si>
    <t>Accel X</t>
  </si>
  <si>
    <t>Accel Z</t>
  </si>
  <si>
    <t>Accel Y</t>
  </si>
  <si>
    <t>Accel Status</t>
  </si>
  <si>
    <t>Sensor Status</t>
  </si>
  <si>
    <t>LSB</t>
  </si>
  <si>
    <t>MSB</t>
  </si>
  <si>
    <t>ACC_X</t>
  </si>
  <si>
    <t>DPT14.001</t>
  </si>
  <si>
    <t>OUT_CH_1_DPT_14</t>
  </si>
  <si>
    <t>ACC_Y</t>
  </si>
  <si>
    <t>F6-02-03 (K-E)</t>
  </si>
  <si>
    <t>F6-02-03 (E-K)</t>
  </si>
  <si>
    <t>DPT5.001</t>
  </si>
  <si>
    <t xml:space="preserve">  </t>
  </si>
  <si>
    <t>DB_8</t>
  </si>
  <si>
    <t>DB_7</t>
  </si>
  <si>
    <t>DB_6</t>
  </si>
  <si>
    <t>Illum</t>
  </si>
  <si>
    <t>Status S</t>
  </si>
  <si>
    <t>ACC X</t>
  </si>
  <si>
    <t>ACC Y</t>
  </si>
  <si>
    <t>ACC Z</t>
  </si>
  <si>
    <t>Con</t>
  </si>
  <si>
    <t>N.U.</t>
  </si>
  <si>
    <t>D9</t>
  </si>
  <si>
    <t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</si>
</sst>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E9178"/>
      <name val="Consolas"/>
      <family val="3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111"/>
      <name val="Arial"/>
      <family val="2"/>
    </font>
    <font>
      <sz val="11"/>
      <color rgb="FFFF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" fontId="0" fillId="0" borderId="0" xfId="0" applyNumberFormat="1"/>
    <xf numFmtId="44" fontId="0" fillId="0" borderId="0" xfId="1" applyFont="1"/>
    <xf numFmtId="0" fontId="0" fillId="0" borderId="0" xfId="0" applyAlignment="1">
      <alignment horizontal="center" vertical="center"/>
    </xf>
    <xf numFmtId="0" fontId="0" fillId="10" borderId="1" xfId="0" applyFill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4" xfId="0" applyFill="1" applyBorder="1"/>
    <xf numFmtId="0" fontId="0" fillId="11" borderId="0" xfId="0" applyFill="1"/>
    <xf numFmtId="0" fontId="0" fillId="14" borderId="0" xfId="0" applyFill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4" fillId="0" borderId="0" xfId="0" applyFont="1"/>
    <xf numFmtId="0" fontId="0" fillId="15" borderId="1" xfId="0" applyFill="1" applyBorder="1"/>
    <xf numFmtId="0" fontId="4" fillId="2" borderId="1" xfId="0" applyFont="1" applyFill="1" applyBorder="1"/>
    <xf numFmtId="16" fontId="0" fillId="0" borderId="0" xfId="0" quotePrefix="1" applyNumberFormat="1" applyAlignment="1">
      <alignment horizontal="center" vertical="center"/>
    </xf>
    <xf numFmtId="0" fontId="0" fillId="9" borderId="0" xfId="0" applyFill="1"/>
    <xf numFmtId="0" fontId="5" fillId="0" borderId="0" xfId="0" applyFont="1"/>
    <xf numFmtId="0" fontId="0" fillId="13" borderId="3" xfId="0" applyFill="1" applyBorder="1"/>
    <xf numFmtId="0" fontId="0" fillId="13" borderId="1" xfId="0" applyFill="1" applyBorder="1"/>
    <xf numFmtId="0" fontId="0" fillId="7" borderId="0" xfId="0" applyFill="1" applyAlignment="1">
      <alignment horizontal="center" vertical="center" textRotation="180" wrapText="1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vertical="center"/>
    </xf>
    <xf numFmtId="0" fontId="0" fillId="16" borderId="1" xfId="0" applyFill="1" applyBorder="1"/>
    <xf numFmtId="0" fontId="0" fillId="18" borderId="0" xfId="0" applyFill="1" applyAlignment="1">
      <alignment horizontal="right"/>
    </xf>
    <xf numFmtId="0" fontId="0" fillId="18" borderId="0" xfId="0" applyFill="1" applyAlignment="1">
      <alignment horizontal="center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19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9" fillId="9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0" fillId="20" borderId="0" xfId="0" applyFont="1" applyFill="1" applyAlignment="1">
      <alignment horizontal="right"/>
    </xf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9" borderId="0" xfId="0" applyFont="1" applyFill="1"/>
    <xf numFmtId="0" fontId="0" fillId="21" borderId="0" xfId="0" applyFill="1"/>
    <xf numFmtId="0" fontId="11" fillId="21" borderId="0" xfId="0" applyFont="1" applyFill="1"/>
    <xf numFmtId="0" fontId="0" fillId="5" borderId="0" xfId="0" applyFill="1"/>
    <xf numFmtId="0" fontId="11" fillId="5" borderId="0" xfId="0" applyFont="1" applyFill="1"/>
    <xf numFmtId="0" fontId="0" fillId="22" borderId="0" xfId="0" applyFill="1"/>
    <xf numFmtId="0" fontId="0" fillId="2" borderId="0" xfId="0" applyFill="1"/>
    <xf numFmtId="0" fontId="0" fillId="23" borderId="1" xfId="0" applyFill="1" applyBorder="1"/>
    <xf numFmtId="0" fontId="0" fillId="23" borderId="0" xfId="0" applyFill="1"/>
    <xf numFmtId="164" fontId="0" fillId="23" borderId="0" xfId="0" applyNumberFormat="1" applyFill="1"/>
    <xf numFmtId="0" fontId="0" fillId="9" borderId="7" xfId="0" applyFill="1" applyBorder="1"/>
    <xf numFmtId="0" fontId="0" fillId="17" borderId="2" xfId="0" applyFill="1" applyBorder="1" applyAlignment="1">
      <alignment horizontal="right"/>
    </xf>
    <xf numFmtId="0" fontId="0" fillId="17" borderId="9" xfId="0" applyFill="1" applyBorder="1"/>
    <xf numFmtId="164" fontId="0" fillId="17" borderId="7" xfId="0" applyNumberFormat="1" applyFill="1" applyBorder="1"/>
    <xf numFmtId="0" fontId="0" fillId="0" borderId="8" xfId="0" applyBorder="1"/>
    <xf numFmtId="1" fontId="0" fillId="0" borderId="0" xfId="0" applyNumberFormat="1"/>
    <xf numFmtId="0" fontId="0" fillId="17" borderId="1" xfId="0" applyFill="1" applyBorder="1"/>
    <xf numFmtId="0" fontId="0" fillId="17" borderId="10" xfId="0" applyFill="1" applyBorder="1"/>
    <xf numFmtId="0" fontId="0" fillId="2" borderId="1" xfId="0" applyFill="1" applyBorder="1" applyAlignment="1">
      <alignment horizontal="center"/>
    </xf>
    <xf numFmtId="0" fontId="0" fillId="11" borderId="2" xfId="0" applyFill="1" applyBorder="1"/>
    <xf numFmtId="0" fontId="0" fillId="11" borderId="1" xfId="0" applyFill="1" applyBorder="1"/>
    <xf numFmtId="0" fontId="0" fillId="16" borderId="0" xfId="0" applyFill="1" applyAlignment="1">
      <alignment vertical="center" wrapText="1"/>
    </xf>
    <xf numFmtId="0" fontId="0" fillId="2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5" borderId="0" xfId="0" applyFill="1" applyAlignment="1">
      <alignment vertical="center" wrapText="1"/>
    </xf>
    <xf numFmtId="0" fontId="0" fillId="17" borderId="0" xfId="0" applyFill="1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0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19" borderId="1" xfId="0" applyFill="1" applyBorder="1"/>
    <xf numFmtId="0" fontId="0" fillId="20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6" borderId="0" xfId="0" applyFill="1"/>
    <xf numFmtId="0" fontId="0" fillId="20" borderId="0" xfId="0" applyFill="1"/>
    <xf numFmtId="0" fontId="0" fillId="24" borderId="0" xfId="0" applyFill="1"/>
    <xf numFmtId="44" fontId="0" fillId="0" borderId="0" xfId="1" applyFont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 textRotation="180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73</xdr:row>
      <xdr:rowOff>180975</xdr:rowOff>
    </xdr:from>
    <xdr:to>
      <xdr:col>17</xdr:col>
      <xdr:colOff>161183</xdr:colOff>
      <xdr:row>95</xdr:row>
      <xdr:rowOff>180451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2343675-79AD-486C-9649-0E59E1C44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2625" y="14487525"/>
          <a:ext cx="5933333" cy="41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B115-D942-4286-853D-26932FC74579}">
  <dimension ref="B2:K302"/>
  <sheetViews>
    <sheetView topLeftCell="A261" zoomScale="85" zoomScaleNormal="85" workbookViewId="0">
      <selection activeCell="F294" sqref="F294"/>
    </sheetView>
  </sheetViews>
  <sheetFormatPr baseColWidth="10" defaultRowHeight="14.4" x14ac:dyDescent="0.3"/>
  <cols>
    <col min="2" max="2" width="8" style="1" customWidth="1"/>
    <col min="3" max="3" width="4.88671875" style="21" hidden="1" customWidth="1"/>
    <col min="4" max="5" width="3.6640625" style="21" hidden="1" customWidth="1"/>
    <col min="7" max="7" width="5.88671875" style="1" bestFit="1" customWidth="1"/>
    <col min="9" max="9" width="22.88671875" bestFit="1" customWidth="1"/>
  </cols>
  <sheetData>
    <row r="2" spans="2:9" x14ac:dyDescent="0.3">
      <c r="B2" s="1" t="s">
        <v>659</v>
      </c>
      <c r="F2" t="s">
        <v>385</v>
      </c>
      <c r="G2" s="1" t="s">
        <v>592</v>
      </c>
      <c r="H2" t="s">
        <v>386</v>
      </c>
      <c r="I2" t="s">
        <v>384</v>
      </c>
    </row>
    <row r="3" spans="2:9" x14ac:dyDescent="0.3">
      <c r="B3" s="9">
        <v>1</v>
      </c>
      <c r="C3" s="111" t="s">
        <v>220</v>
      </c>
      <c r="D3" s="111" t="s">
        <v>13</v>
      </c>
      <c r="E3" s="111">
        <v>2</v>
      </c>
      <c r="F3" s="9" t="s">
        <v>14</v>
      </c>
      <c r="G3" s="1" t="s">
        <v>230</v>
      </c>
    </row>
    <row r="4" spans="2:9" x14ac:dyDescent="0.3">
      <c r="B4" s="9">
        <v>2</v>
      </c>
      <c r="C4" s="111"/>
      <c r="D4" s="111"/>
      <c r="E4" s="111"/>
      <c r="F4" s="9" t="s">
        <v>15</v>
      </c>
      <c r="G4" s="1" t="s">
        <v>230</v>
      </c>
    </row>
    <row r="5" spans="2:9" x14ac:dyDescent="0.3">
      <c r="B5" s="9">
        <v>3</v>
      </c>
      <c r="C5" s="111"/>
      <c r="D5" s="111"/>
      <c r="E5" s="111"/>
      <c r="F5" s="9" t="s">
        <v>16</v>
      </c>
      <c r="G5" s="1" t="s">
        <v>230</v>
      </c>
    </row>
    <row r="6" spans="2:9" x14ac:dyDescent="0.3">
      <c r="B6" s="9">
        <v>4</v>
      </c>
      <c r="C6" s="111"/>
      <c r="D6" s="111"/>
      <c r="E6" s="111"/>
      <c r="F6" s="9" t="s">
        <v>17</v>
      </c>
      <c r="G6" s="1" t="s">
        <v>230</v>
      </c>
    </row>
    <row r="7" spans="2:9" x14ac:dyDescent="0.3">
      <c r="B7" s="9">
        <v>5</v>
      </c>
      <c r="C7" s="111"/>
      <c r="D7" s="111"/>
      <c r="E7" s="111"/>
      <c r="F7" s="9" t="s">
        <v>18</v>
      </c>
      <c r="G7" s="1" t="s">
        <v>230</v>
      </c>
    </row>
    <row r="8" spans="2:9" x14ac:dyDescent="0.3">
      <c r="B8" s="9">
        <v>6</v>
      </c>
      <c r="C8" s="111"/>
      <c r="D8" s="111"/>
      <c r="E8" s="111"/>
      <c r="F8" s="9" t="s">
        <v>19</v>
      </c>
      <c r="G8" s="1" t="s">
        <v>230</v>
      </c>
    </row>
    <row r="9" spans="2:9" x14ac:dyDescent="0.3">
      <c r="B9" s="9">
        <v>7</v>
      </c>
      <c r="C9" s="111"/>
      <c r="D9" s="111"/>
      <c r="E9" s="111"/>
      <c r="F9" s="9" t="s">
        <v>20</v>
      </c>
      <c r="G9" s="1" t="s">
        <v>230</v>
      </c>
    </row>
    <row r="10" spans="2:9" x14ac:dyDescent="0.3">
      <c r="B10" s="9">
        <v>8</v>
      </c>
      <c r="C10" s="111"/>
      <c r="D10" s="111"/>
      <c r="E10" s="111"/>
      <c r="F10" s="9" t="s">
        <v>21</v>
      </c>
      <c r="G10" s="1" t="s">
        <v>230</v>
      </c>
    </row>
    <row r="11" spans="2:9" x14ac:dyDescent="0.3">
      <c r="B11" s="9">
        <v>9</v>
      </c>
      <c r="C11" s="111"/>
      <c r="D11" s="111"/>
      <c r="E11" s="111"/>
      <c r="F11" s="9" t="s">
        <v>22</v>
      </c>
      <c r="G11" s="1" t="s">
        <v>230</v>
      </c>
    </row>
    <row r="12" spans="2:9" x14ac:dyDescent="0.3">
      <c r="B12" s="9">
        <v>10</v>
      </c>
      <c r="C12" s="111"/>
      <c r="D12" s="111"/>
      <c r="E12" s="111"/>
      <c r="F12" s="9" t="s">
        <v>33</v>
      </c>
      <c r="G12" s="1" t="s">
        <v>230</v>
      </c>
    </row>
    <row r="13" spans="2:9" x14ac:dyDescent="0.3">
      <c r="B13" s="9">
        <v>11</v>
      </c>
      <c r="C13" s="111"/>
      <c r="D13" s="111"/>
      <c r="E13" s="111"/>
      <c r="F13" s="9" t="s">
        <v>34</v>
      </c>
      <c r="G13" s="1" t="s">
        <v>230</v>
      </c>
    </row>
    <row r="14" spans="2:9" x14ac:dyDescent="0.3">
      <c r="B14" s="9">
        <v>12</v>
      </c>
      <c r="C14" s="111"/>
      <c r="D14" s="111"/>
      <c r="E14" s="111"/>
      <c r="F14" s="9" t="s">
        <v>23</v>
      </c>
      <c r="G14" s="1" t="s">
        <v>230</v>
      </c>
    </row>
    <row r="15" spans="2:9" x14ac:dyDescent="0.3">
      <c r="B15" s="9">
        <v>13</v>
      </c>
      <c r="C15" s="111"/>
      <c r="D15" s="111"/>
      <c r="E15" s="111"/>
      <c r="F15" s="9" t="s">
        <v>24</v>
      </c>
      <c r="G15" s="1" t="s">
        <v>230</v>
      </c>
    </row>
    <row r="16" spans="2:9" x14ac:dyDescent="0.3">
      <c r="B16" s="9">
        <v>14</v>
      </c>
      <c r="C16" s="111"/>
      <c r="D16" s="111"/>
      <c r="E16" s="111"/>
      <c r="F16" s="9" t="s">
        <v>25</v>
      </c>
      <c r="G16" s="1" t="s">
        <v>230</v>
      </c>
    </row>
    <row r="17" spans="2:7" x14ac:dyDescent="0.3">
      <c r="B17" s="9">
        <v>15</v>
      </c>
      <c r="C17" s="111"/>
      <c r="D17" s="111"/>
      <c r="E17" s="111"/>
      <c r="F17" s="9" t="s">
        <v>26</v>
      </c>
      <c r="G17" s="1" t="s">
        <v>230</v>
      </c>
    </row>
    <row r="18" spans="2:7" x14ac:dyDescent="0.3">
      <c r="B18" s="9">
        <v>16</v>
      </c>
      <c r="C18" s="111"/>
      <c r="D18" s="111"/>
      <c r="E18" s="111"/>
      <c r="F18" s="9" t="s">
        <v>27</v>
      </c>
      <c r="G18" s="1" t="s">
        <v>230</v>
      </c>
    </row>
    <row r="19" spans="2:7" x14ac:dyDescent="0.3">
      <c r="B19" s="9">
        <v>17</v>
      </c>
      <c r="C19" s="111"/>
      <c r="D19" s="111"/>
      <c r="E19" s="111"/>
      <c r="F19" s="9" t="s">
        <v>28</v>
      </c>
      <c r="G19" s="1" t="s">
        <v>230</v>
      </c>
    </row>
    <row r="20" spans="2:7" x14ac:dyDescent="0.3">
      <c r="B20" s="9">
        <v>18</v>
      </c>
      <c r="C20" s="111"/>
      <c r="D20" s="111"/>
      <c r="E20" s="111"/>
      <c r="F20" s="9" t="s">
        <v>29</v>
      </c>
      <c r="G20" s="1" t="s">
        <v>230</v>
      </c>
    </row>
    <row r="21" spans="2:7" x14ac:dyDescent="0.3">
      <c r="B21" s="9">
        <v>19</v>
      </c>
      <c r="C21" s="111"/>
      <c r="D21" s="111"/>
      <c r="E21" s="111"/>
      <c r="F21" s="9" t="s">
        <v>30</v>
      </c>
      <c r="G21" s="1" t="s">
        <v>230</v>
      </c>
    </row>
    <row r="22" spans="2:7" x14ac:dyDescent="0.3">
      <c r="B22" s="9">
        <v>20</v>
      </c>
      <c r="C22" s="111"/>
      <c r="D22" s="111"/>
      <c r="E22" s="111"/>
      <c r="F22" s="9" t="s">
        <v>31</v>
      </c>
      <c r="G22" s="1" t="s">
        <v>230</v>
      </c>
    </row>
    <row r="23" spans="2:7" x14ac:dyDescent="0.3">
      <c r="B23" s="9">
        <v>21</v>
      </c>
      <c r="C23" s="111"/>
      <c r="D23" s="111"/>
      <c r="E23" s="111"/>
      <c r="F23" s="9" t="s">
        <v>32</v>
      </c>
      <c r="G23" s="1" t="s">
        <v>230</v>
      </c>
    </row>
    <row r="24" spans="2:7" x14ac:dyDescent="0.3">
      <c r="B24" s="9">
        <v>22</v>
      </c>
      <c r="C24" s="111"/>
      <c r="D24" s="111"/>
      <c r="E24" s="111"/>
      <c r="F24" s="9" t="s">
        <v>35</v>
      </c>
      <c r="G24" s="1" t="s">
        <v>230</v>
      </c>
    </row>
    <row r="25" spans="2:7" x14ac:dyDescent="0.3">
      <c r="B25" s="9">
        <v>23</v>
      </c>
      <c r="C25" s="111"/>
      <c r="D25" s="111"/>
      <c r="E25" s="111"/>
      <c r="F25" s="9" t="s">
        <v>36</v>
      </c>
      <c r="G25" s="1" t="s">
        <v>230</v>
      </c>
    </row>
    <row r="26" spans="2:7" x14ac:dyDescent="0.3">
      <c r="B26" s="9">
        <v>24</v>
      </c>
      <c r="C26" s="111"/>
      <c r="D26" s="111"/>
      <c r="E26" s="111"/>
      <c r="F26" s="9" t="s">
        <v>37</v>
      </c>
      <c r="G26" s="1" t="s">
        <v>230</v>
      </c>
    </row>
    <row r="27" spans="2:7" x14ac:dyDescent="0.3">
      <c r="B27" s="9">
        <v>25</v>
      </c>
      <c r="C27" s="111"/>
      <c r="D27" s="111"/>
      <c r="E27" s="111"/>
      <c r="F27" s="9" t="s">
        <v>38</v>
      </c>
      <c r="G27" s="1" t="s">
        <v>230</v>
      </c>
    </row>
    <row r="28" spans="2:7" x14ac:dyDescent="0.3">
      <c r="B28" s="9">
        <v>26</v>
      </c>
      <c r="C28" s="111"/>
      <c r="D28" s="111"/>
      <c r="E28" s="111">
        <v>4</v>
      </c>
      <c r="F28" s="9" t="s">
        <v>39</v>
      </c>
      <c r="G28" s="1" t="s">
        <v>230</v>
      </c>
    </row>
    <row r="29" spans="2:7" x14ac:dyDescent="0.3">
      <c r="B29" s="9">
        <v>27</v>
      </c>
      <c r="C29" s="111"/>
      <c r="D29" s="111"/>
      <c r="E29" s="111"/>
      <c r="F29" s="9" t="s">
        <v>40</v>
      </c>
      <c r="G29" s="1" t="s">
        <v>230</v>
      </c>
    </row>
    <row r="30" spans="2:7" x14ac:dyDescent="0.3">
      <c r="B30" s="9">
        <v>28</v>
      </c>
      <c r="C30" s="111"/>
      <c r="D30" s="111"/>
      <c r="E30" s="111"/>
      <c r="F30" s="9" t="s">
        <v>41</v>
      </c>
      <c r="G30" s="1" t="s">
        <v>230</v>
      </c>
    </row>
    <row r="31" spans="2:7" x14ac:dyDescent="0.3">
      <c r="B31" s="9">
        <v>29</v>
      </c>
      <c r="C31" s="111"/>
      <c r="D31" s="111"/>
      <c r="E31" s="111"/>
      <c r="F31" s="9" t="s">
        <v>464</v>
      </c>
    </row>
    <row r="32" spans="2:7" x14ac:dyDescent="0.3">
      <c r="B32" s="9">
        <v>30</v>
      </c>
      <c r="C32" s="111"/>
      <c r="D32" s="111"/>
      <c r="E32" s="26">
        <v>5</v>
      </c>
      <c r="F32" s="9" t="s">
        <v>42</v>
      </c>
      <c r="G32" s="1" t="s">
        <v>377</v>
      </c>
    </row>
    <row r="33" spans="2:9" x14ac:dyDescent="0.3">
      <c r="B33" s="9">
        <v>31</v>
      </c>
      <c r="C33" s="111"/>
      <c r="D33" s="111"/>
      <c r="E33" s="111">
        <v>6</v>
      </c>
      <c r="F33" s="9" t="s">
        <v>43</v>
      </c>
      <c r="G33" s="1" t="s">
        <v>230</v>
      </c>
    </row>
    <row r="34" spans="2:9" x14ac:dyDescent="0.3">
      <c r="B34" s="9">
        <v>32</v>
      </c>
      <c r="C34" s="111"/>
      <c r="D34" s="111"/>
      <c r="E34" s="111"/>
      <c r="F34" s="9" t="s">
        <v>44</v>
      </c>
      <c r="G34" s="1" t="s">
        <v>230</v>
      </c>
    </row>
    <row r="35" spans="2:9" x14ac:dyDescent="0.3">
      <c r="B35" s="9">
        <v>33</v>
      </c>
      <c r="C35" s="111"/>
      <c r="D35" s="111"/>
      <c r="E35" s="111"/>
      <c r="F35" s="9" t="s">
        <v>45</v>
      </c>
      <c r="G35" s="1" t="s">
        <v>230</v>
      </c>
    </row>
    <row r="36" spans="2:9" x14ac:dyDescent="0.3">
      <c r="B36" s="9">
        <v>34</v>
      </c>
      <c r="C36" s="111"/>
      <c r="D36" s="111"/>
      <c r="E36" s="111"/>
      <c r="F36" s="9" t="s">
        <v>465</v>
      </c>
      <c r="G36" s="1" t="s">
        <v>677</v>
      </c>
    </row>
    <row r="37" spans="2:9" x14ac:dyDescent="0.3">
      <c r="B37" s="9">
        <v>35</v>
      </c>
      <c r="C37" s="111"/>
      <c r="D37" s="111"/>
      <c r="E37" s="111"/>
      <c r="F37" s="9" t="s">
        <v>466</v>
      </c>
      <c r="G37" s="1" t="s">
        <v>677</v>
      </c>
    </row>
    <row r="38" spans="2:9" x14ac:dyDescent="0.3">
      <c r="B38" s="9">
        <v>36</v>
      </c>
      <c r="C38" s="111"/>
      <c r="D38" s="111"/>
      <c r="E38" s="111">
        <v>7</v>
      </c>
      <c r="F38" s="9" t="s">
        <v>46</v>
      </c>
      <c r="G38" s="1" t="s">
        <v>230</v>
      </c>
      <c r="I38" t="s">
        <v>345</v>
      </c>
    </row>
    <row r="39" spans="2:9" x14ac:dyDescent="0.3">
      <c r="B39" s="9">
        <v>37</v>
      </c>
      <c r="C39" s="111"/>
      <c r="D39" s="111"/>
      <c r="E39" s="111"/>
      <c r="F39" s="9" t="s">
        <v>47</v>
      </c>
      <c r="G39" s="1" t="s">
        <v>230</v>
      </c>
      <c r="I39" t="s">
        <v>345</v>
      </c>
    </row>
    <row r="40" spans="2:9" x14ac:dyDescent="0.3">
      <c r="B40" s="9">
        <v>38</v>
      </c>
      <c r="C40" s="111"/>
      <c r="D40" s="111"/>
      <c r="E40" s="111"/>
      <c r="F40" s="9" t="s">
        <v>48</v>
      </c>
      <c r="G40" s="1" t="s">
        <v>230</v>
      </c>
      <c r="H40" t="s">
        <v>440</v>
      </c>
      <c r="I40" t="s">
        <v>345</v>
      </c>
    </row>
    <row r="41" spans="2:9" x14ac:dyDescent="0.3">
      <c r="B41" s="9">
        <v>39</v>
      </c>
      <c r="C41" s="111"/>
      <c r="D41" s="111"/>
      <c r="E41" s="111">
        <v>8</v>
      </c>
      <c r="F41" s="9" t="s">
        <v>49</v>
      </c>
    </row>
    <row r="42" spans="2:9" x14ac:dyDescent="0.3">
      <c r="B42" s="9">
        <v>40</v>
      </c>
      <c r="C42" s="111"/>
      <c r="D42" s="111"/>
      <c r="E42" s="111"/>
      <c r="F42" s="9" t="s">
        <v>50</v>
      </c>
    </row>
    <row r="43" spans="2:9" x14ac:dyDescent="0.3">
      <c r="B43" s="9">
        <v>41</v>
      </c>
      <c r="C43" s="111"/>
      <c r="D43" s="111"/>
      <c r="E43" s="111"/>
      <c r="F43" s="9" t="s">
        <v>51</v>
      </c>
    </row>
    <row r="44" spans="2:9" x14ac:dyDescent="0.3">
      <c r="B44" s="9">
        <v>42</v>
      </c>
      <c r="C44" s="111"/>
      <c r="D44" s="111"/>
      <c r="E44" s="111">
        <v>9</v>
      </c>
      <c r="F44" s="9" t="s">
        <v>52</v>
      </c>
    </row>
    <row r="45" spans="2:9" x14ac:dyDescent="0.3">
      <c r="B45" s="9">
        <v>43</v>
      </c>
      <c r="C45" s="111"/>
      <c r="D45" s="111"/>
      <c r="E45" s="111"/>
      <c r="F45" s="9" t="s">
        <v>54</v>
      </c>
    </row>
    <row r="46" spans="2:9" x14ac:dyDescent="0.3">
      <c r="B46" s="9">
        <v>44</v>
      </c>
      <c r="C46" s="111"/>
      <c r="D46" s="111"/>
      <c r="E46" s="111"/>
      <c r="F46" s="9" t="s">
        <v>55</v>
      </c>
    </row>
    <row r="47" spans="2:9" x14ac:dyDescent="0.3">
      <c r="B47" s="9">
        <v>45</v>
      </c>
      <c r="C47" s="111"/>
      <c r="D47" s="111"/>
      <c r="E47" s="111"/>
      <c r="F47" s="9" t="s">
        <v>56</v>
      </c>
    </row>
    <row r="48" spans="2:9" x14ac:dyDescent="0.3">
      <c r="B48" s="9">
        <v>46</v>
      </c>
      <c r="C48" s="111"/>
      <c r="D48" s="111"/>
      <c r="E48" s="111"/>
      <c r="F48" s="9" t="s">
        <v>57</v>
      </c>
    </row>
    <row r="49" spans="2:6" x14ac:dyDescent="0.3">
      <c r="B49" s="9">
        <v>47</v>
      </c>
      <c r="C49" s="111"/>
      <c r="D49" s="111"/>
      <c r="E49" s="111"/>
      <c r="F49" s="9" t="s">
        <v>58</v>
      </c>
    </row>
    <row r="50" spans="2:6" x14ac:dyDescent="0.3">
      <c r="B50" s="9">
        <v>48</v>
      </c>
      <c r="C50" s="111"/>
      <c r="D50" s="111"/>
      <c r="E50" s="111"/>
      <c r="F50" s="9" t="s">
        <v>59</v>
      </c>
    </row>
    <row r="51" spans="2:6" x14ac:dyDescent="0.3">
      <c r="B51" s="9">
        <v>49</v>
      </c>
      <c r="C51" s="111"/>
      <c r="D51" s="111"/>
      <c r="E51" s="111"/>
      <c r="F51" s="9" t="s">
        <v>60</v>
      </c>
    </row>
    <row r="52" spans="2:6" x14ac:dyDescent="0.3">
      <c r="B52" s="9">
        <v>50</v>
      </c>
      <c r="C52" s="111"/>
      <c r="D52" s="111"/>
      <c r="E52" s="111"/>
      <c r="F52" s="9" t="s">
        <v>61</v>
      </c>
    </row>
    <row r="53" spans="2:6" x14ac:dyDescent="0.3">
      <c r="B53" s="9">
        <v>51</v>
      </c>
      <c r="C53" s="111"/>
      <c r="D53" s="111"/>
      <c r="E53" s="111"/>
      <c r="F53" s="9" t="s">
        <v>467</v>
      </c>
    </row>
    <row r="54" spans="2:6" x14ac:dyDescent="0.3">
      <c r="B54" s="9">
        <v>52</v>
      </c>
      <c r="C54" s="111"/>
      <c r="D54" s="111"/>
      <c r="E54" s="111">
        <v>10</v>
      </c>
      <c r="F54" s="9" t="s">
        <v>62</v>
      </c>
    </row>
    <row r="55" spans="2:6" x14ac:dyDescent="0.3">
      <c r="B55" s="9">
        <v>53</v>
      </c>
      <c r="C55" s="111"/>
      <c r="D55" s="111"/>
      <c r="E55" s="111"/>
      <c r="F55" s="9" t="s">
        <v>63</v>
      </c>
    </row>
    <row r="56" spans="2:6" x14ac:dyDescent="0.3">
      <c r="B56" s="9">
        <v>54</v>
      </c>
      <c r="C56" s="111"/>
      <c r="D56" s="111"/>
      <c r="E56" s="111"/>
      <c r="F56" s="9" t="s">
        <v>64</v>
      </c>
    </row>
    <row r="57" spans="2:6" x14ac:dyDescent="0.3">
      <c r="B57" s="9">
        <v>55</v>
      </c>
      <c r="C57" s="111"/>
      <c r="D57" s="111"/>
      <c r="E57" s="111"/>
      <c r="F57" s="9" t="s">
        <v>65</v>
      </c>
    </row>
    <row r="58" spans="2:6" x14ac:dyDescent="0.3">
      <c r="B58" s="9">
        <v>56</v>
      </c>
      <c r="C58" s="111"/>
      <c r="D58" s="111"/>
      <c r="E58" s="111"/>
      <c r="F58" s="9" t="s">
        <v>66</v>
      </c>
    </row>
    <row r="59" spans="2:6" x14ac:dyDescent="0.3">
      <c r="B59" s="9">
        <v>57</v>
      </c>
      <c r="C59" s="111"/>
      <c r="D59" s="111"/>
      <c r="E59" s="111"/>
      <c r="F59" s="9" t="s">
        <v>67</v>
      </c>
    </row>
    <row r="60" spans="2:6" x14ac:dyDescent="0.3">
      <c r="B60" s="9">
        <v>58</v>
      </c>
      <c r="C60" s="111"/>
      <c r="D60" s="111"/>
      <c r="E60" s="111"/>
      <c r="F60" s="9" t="s">
        <v>68</v>
      </c>
    </row>
    <row r="61" spans="2:6" x14ac:dyDescent="0.3">
      <c r="B61" s="9">
        <v>59</v>
      </c>
      <c r="C61" s="111"/>
      <c r="D61" s="111"/>
      <c r="E61" s="111"/>
      <c r="F61" s="9" t="s">
        <v>69</v>
      </c>
    </row>
    <row r="62" spans="2:6" x14ac:dyDescent="0.3">
      <c r="B62" s="9">
        <v>60</v>
      </c>
      <c r="C62" s="111"/>
      <c r="D62" s="111"/>
      <c r="E62" s="111"/>
      <c r="F62" s="9" t="s">
        <v>70</v>
      </c>
    </row>
    <row r="63" spans="2:6" x14ac:dyDescent="0.3">
      <c r="B63" s="9">
        <v>61</v>
      </c>
      <c r="C63" s="111"/>
      <c r="D63" s="111"/>
      <c r="E63" s="111"/>
      <c r="F63" s="9" t="s">
        <v>80</v>
      </c>
    </row>
    <row r="64" spans="2:6" x14ac:dyDescent="0.3">
      <c r="B64" s="9">
        <v>62</v>
      </c>
      <c r="C64" s="111"/>
      <c r="D64" s="111"/>
      <c r="E64" s="111"/>
      <c r="F64" s="9" t="s">
        <v>81</v>
      </c>
    </row>
    <row r="65" spans="2:6" x14ac:dyDescent="0.3">
      <c r="B65" s="9">
        <v>63</v>
      </c>
      <c r="C65" s="111"/>
      <c r="D65" s="111"/>
      <c r="E65" s="111"/>
      <c r="F65" s="9" t="s">
        <v>82</v>
      </c>
    </row>
    <row r="66" spans="2:6" x14ac:dyDescent="0.3">
      <c r="B66" s="9">
        <v>64</v>
      </c>
      <c r="C66" s="111"/>
      <c r="D66" s="111"/>
      <c r="E66" s="111"/>
      <c r="F66" s="9" t="s">
        <v>83</v>
      </c>
    </row>
    <row r="67" spans="2:6" x14ac:dyDescent="0.3">
      <c r="B67" s="9">
        <v>65</v>
      </c>
      <c r="C67" s="111"/>
      <c r="D67" s="111"/>
      <c r="E67" s="111"/>
      <c r="F67" s="9" t="s">
        <v>71</v>
      </c>
    </row>
    <row r="68" spans="2:6" x14ac:dyDescent="0.3">
      <c r="B68" s="9">
        <v>66</v>
      </c>
      <c r="C68" s="111"/>
      <c r="D68" s="111"/>
      <c r="E68" s="111"/>
      <c r="F68" s="9" t="s">
        <v>72</v>
      </c>
    </row>
    <row r="69" spans="2:6" x14ac:dyDescent="0.3">
      <c r="B69" s="9">
        <v>67</v>
      </c>
      <c r="C69" s="111"/>
      <c r="D69" s="111"/>
      <c r="E69" s="111"/>
      <c r="F69" s="9" t="s">
        <v>73</v>
      </c>
    </row>
    <row r="70" spans="2:6" x14ac:dyDescent="0.3">
      <c r="B70" s="9">
        <v>68</v>
      </c>
      <c r="C70" s="111"/>
      <c r="D70" s="111"/>
      <c r="E70" s="111"/>
      <c r="F70" s="9" t="s">
        <v>74</v>
      </c>
    </row>
    <row r="71" spans="2:6" x14ac:dyDescent="0.3">
      <c r="B71" s="9">
        <v>69</v>
      </c>
      <c r="C71" s="111"/>
      <c r="D71" s="111"/>
      <c r="E71" s="111"/>
      <c r="F71" s="9" t="s">
        <v>75</v>
      </c>
    </row>
    <row r="72" spans="2:6" x14ac:dyDescent="0.3">
      <c r="B72" s="9">
        <v>70</v>
      </c>
      <c r="C72" s="111"/>
      <c r="D72" s="111"/>
      <c r="E72" s="111"/>
      <c r="F72" s="9" t="s">
        <v>76</v>
      </c>
    </row>
    <row r="73" spans="2:6" x14ac:dyDescent="0.3">
      <c r="B73" s="9">
        <v>71</v>
      </c>
      <c r="C73" s="111"/>
      <c r="D73" s="111"/>
      <c r="E73" s="111"/>
      <c r="F73" s="9" t="s">
        <v>77</v>
      </c>
    </row>
    <row r="74" spans="2:6" x14ac:dyDescent="0.3">
      <c r="B74" s="9">
        <v>72</v>
      </c>
      <c r="C74" s="111"/>
      <c r="D74" s="111"/>
      <c r="E74" s="111"/>
      <c r="F74" s="9" t="s">
        <v>78</v>
      </c>
    </row>
    <row r="75" spans="2:6" x14ac:dyDescent="0.3">
      <c r="B75" s="9">
        <v>73</v>
      </c>
      <c r="C75" s="111"/>
      <c r="D75" s="111"/>
      <c r="E75" s="111"/>
      <c r="F75" s="9" t="s">
        <v>79</v>
      </c>
    </row>
    <row r="76" spans="2:6" x14ac:dyDescent="0.3">
      <c r="B76" s="9">
        <v>74</v>
      </c>
      <c r="C76" s="111"/>
      <c r="D76" s="111"/>
      <c r="E76" s="111"/>
      <c r="F76" s="9" t="s">
        <v>84</v>
      </c>
    </row>
    <row r="77" spans="2:6" x14ac:dyDescent="0.3">
      <c r="B77" s="9">
        <v>75</v>
      </c>
      <c r="C77" s="111"/>
      <c r="D77" s="111"/>
      <c r="E77" s="111"/>
      <c r="F77" s="9" t="s">
        <v>87</v>
      </c>
    </row>
    <row r="78" spans="2:6" x14ac:dyDescent="0.3">
      <c r="B78" s="9">
        <v>76</v>
      </c>
      <c r="C78" s="111"/>
      <c r="D78" s="111"/>
      <c r="E78" s="111"/>
      <c r="F78" s="9" t="s">
        <v>88</v>
      </c>
    </row>
    <row r="79" spans="2:6" x14ac:dyDescent="0.3">
      <c r="B79" s="9">
        <v>77</v>
      </c>
      <c r="C79" s="111"/>
      <c r="D79" s="111"/>
      <c r="E79" s="111"/>
      <c r="F79" s="9" t="s">
        <v>89</v>
      </c>
    </row>
    <row r="80" spans="2:6" x14ac:dyDescent="0.3">
      <c r="B80" s="9">
        <v>78</v>
      </c>
      <c r="C80" s="111"/>
      <c r="D80" s="111"/>
      <c r="E80" s="111"/>
      <c r="F80" s="9" t="s">
        <v>90</v>
      </c>
    </row>
    <row r="81" spans="2:7" x14ac:dyDescent="0.3">
      <c r="B81" s="9">
        <v>79</v>
      </c>
      <c r="C81" s="111"/>
      <c r="D81" s="111"/>
      <c r="E81" s="111"/>
      <c r="F81" s="9" t="s">
        <v>91</v>
      </c>
    </row>
    <row r="82" spans="2:7" x14ac:dyDescent="0.3">
      <c r="B82" s="9">
        <v>80</v>
      </c>
      <c r="C82" s="111"/>
      <c r="D82" s="111"/>
      <c r="E82" s="111"/>
      <c r="F82" s="9" t="s">
        <v>92</v>
      </c>
    </row>
    <row r="83" spans="2:7" x14ac:dyDescent="0.3">
      <c r="B83" s="9">
        <v>81</v>
      </c>
      <c r="C83" s="111"/>
      <c r="D83" s="111"/>
      <c r="E83" s="111"/>
      <c r="F83" s="9" t="s">
        <v>85</v>
      </c>
    </row>
    <row r="84" spans="2:7" x14ac:dyDescent="0.3">
      <c r="B84" s="9">
        <v>82</v>
      </c>
      <c r="C84" s="111"/>
      <c r="D84" s="111"/>
      <c r="E84" s="111"/>
      <c r="F84" s="9" t="s">
        <v>86</v>
      </c>
    </row>
    <row r="85" spans="2:7" x14ac:dyDescent="0.3">
      <c r="B85" s="9">
        <v>83</v>
      </c>
      <c r="C85" s="111"/>
      <c r="D85" s="111"/>
      <c r="E85" s="111"/>
      <c r="F85" s="9" t="s">
        <v>468</v>
      </c>
    </row>
    <row r="86" spans="2:7" x14ac:dyDescent="0.3">
      <c r="B86" s="9">
        <v>84</v>
      </c>
      <c r="C86" s="111"/>
      <c r="D86" s="111"/>
      <c r="E86" s="111"/>
      <c r="F86" s="9" t="s">
        <v>469</v>
      </c>
    </row>
    <row r="87" spans="2:7" x14ac:dyDescent="0.3">
      <c r="B87" s="9">
        <v>85</v>
      </c>
      <c r="C87" s="111"/>
      <c r="D87" s="111"/>
      <c r="E87" s="111">
        <v>11</v>
      </c>
      <c r="F87" s="9" t="s">
        <v>93</v>
      </c>
    </row>
    <row r="88" spans="2:7" x14ac:dyDescent="0.3">
      <c r="B88" s="9">
        <v>86</v>
      </c>
      <c r="C88" s="111"/>
      <c r="D88" s="111"/>
      <c r="E88" s="111"/>
      <c r="F88" s="9" t="s">
        <v>94</v>
      </c>
    </row>
    <row r="89" spans="2:7" x14ac:dyDescent="0.3">
      <c r="B89" s="9">
        <v>87</v>
      </c>
      <c r="C89" s="111"/>
      <c r="D89" s="111"/>
      <c r="E89" s="111"/>
      <c r="F89" s="9" t="s">
        <v>95</v>
      </c>
    </row>
    <row r="90" spans="2:7" x14ac:dyDescent="0.3">
      <c r="B90" s="9">
        <v>88</v>
      </c>
      <c r="C90" s="111"/>
      <c r="D90" s="111"/>
      <c r="E90" s="111"/>
      <c r="F90" s="9" t="s">
        <v>96</v>
      </c>
    </row>
    <row r="91" spans="2:7" x14ac:dyDescent="0.3">
      <c r="B91" s="9">
        <v>89</v>
      </c>
      <c r="C91" s="111"/>
      <c r="D91" s="111"/>
      <c r="E91" s="111"/>
      <c r="F91" s="9" t="s">
        <v>470</v>
      </c>
    </row>
    <row r="92" spans="2:7" x14ac:dyDescent="0.3">
      <c r="B92" s="9">
        <v>90</v>
      </c>
      <c r="C92" s="111"/>
      <c r="D92" s="111"/>
      <c r="E92" s="111">
        <v>12</v>
      </c>
      <c r="F92" s="9" t="s">
        <v>97</v>
      </c>
    </row>
    <row r="93" spans="2:7" x14ac:dyDescent="0.3">
      <c r="B93" s="9">
        <v>91</v>
      </c>
      <c r="C93" s="111"/>
      <c r="D93" s="111"/>
      <c r="E93" s="111"/>
      <c r="F93" s="9" t="s">
        <v>98</v>
      </c>
      <c r="G93" s="1" t="s">
        <v>230</v>
      </c>
    </row>
    <row r="94" spans="2:7" x14ac:dyDescent="0.3">
      <c r="B94" s="9">
        <v>92</v>
      </c>
      <c r="C94" s="111"/>
      <c r="D94" s="111"/>
      <c r="E94" s="111"/>
      <c r="F94" s="9" t="s">
        <v>99</v>
      </c>
    </row>
    <row r="95" spans="2:7" x14ac:dyDescent="0.3">
      <c r="B95" s="9">
        <v>93</v>
      </c>
      <c r="C95" s="111"/>
      <c r="D95" s="111"/>
      <c r="E95" s="111"/>
      <c r="F95" s="9" t="s">
        <v>100</v>
      </c>
    </row>
    <row r="96" spans="2:7" x14ac:dyDescent="0.3">
      <c r="B96" s="9">
        <v>94</v>
      </c>
      <c r="C96" s="111"/>
      <c r="D96" s="111"/>
      <c r="E96" s="111"/>
      <c r="F96" s="9" t="s">
        <v>101</v>
      </c>
    </row>
    <row r="97" spans="2:7" x14ac:dyDescent="0.3">
      <c r="B97" s="9">
        <v>95</v>
      </c>
      <c r="C97" s="111"/>
      <c r="D97" s="111"/>
      <c r="E97" s="111"/>
      <c r="F97" s="9" t="s">
        <v>102</v>
      </c>
    </row>
    <row r="98" spans="2:7" x14ac:dyDescent="0.3">
      <c r="B98" s="9">
        <v>96</v>
      </c>
      <c r="C98" s="111"/>
      <c r="D98" s="111"/>
      <c r="E98" s="111"/>
      <c r="F98" s="9" t="s">
        <v>103</v>
      </c>
    </row>
    <row r="99" spans="2:7" x14ac:dyDescent="0.3">
      <c r="B99" s="9">
        <v>97</v>
      </c>
      <c r="C99" s="111"/>
      <c r="D99" s="111"/>
      <c r="E99" s="111">
        <v>13</v>
      </c>
      <c r="F99" s="9" t="s">
        <v>104</v>
      </c>
    </row>
    <row r="100" spans="2:7" x14ac:dyDescent="0.3">
      <c r="B100" s="9">
        <v>98</v>
      </c>
      <c r="C100" s="111"/>
      <c r="D100" s="111"/>
      <c r="E100" s="111"/>
      <c r="F100" s="9" t="s">
        <v>105</v>
      </c>
    </row>
    <row r="101" spans="2:7" x14ac:dyDescent="0.3">
      <c r="B101" s="9">
        <v>99</v>
      </c>
      <c r="C101" s="111"/>
      <c r="D101" s="111"/>
      <c r="E101" s="111"/>
      <c r="F101" s="9" t="s">
        <v>106</v>
      </c>
    </row>
    <row r="102" spans="2:7" x14ac:dyDescent="0.3">
      <c r="B102" s="9">
        <v>100</v>
      </c>
      <c r="C102" s="111"/>
      <c r="D102" s="111"/>
      <c r="E102" s="111"/>
      <c r="F102" s="9" t="s">
        <v>107</v>
      </c>
    </row>
    <row r="103" spans="2:7" x14ac:dyDescent="0.3">
      <c r="B103" s="9">
        <v>101</v>
      </c>
      <c r="C103" s="111"/>
      <c r="D103" s="111"/>
      <c r="E103" s="111"/>
      <c r="F103" s="9" t="s">
        <v>108</v>
      </c>
    </row>
    <row r="104" spans="2:7" x14ac:dyDescent="0.3">
      <c r="B104" s="9">
        <v>102</v>
      </c>
      <c r="C104" s="111"/>
      <c r="D104" s="111"/>
      <c r="E104" s="111"/>
      <c r="F104" s="9" t="s">
        <v>109</v>
      </c>
    </row>
    <row r="105" spans="2:7" x14ac:dyDescent="0.3">
      <c r="B105" s="9">
        <v>103</v>
      </c>
      <c r="C105" s="111"/>
      <c r="D105" s="111"/>
      <c r="E105" s="111"/>
      <c r="F105" s="9" t="s">
        <v>471</v>
      </c>
    </row>
    <row r="106" spans="2:7" x14ac:dyDescent="0.3">
      <c r="B106" s="9">
        <v>104</v>
      </c>
      <c r="C106" s="111"/>
      <c r="D106" s="111"/>
      <c r="E106" s="111"/>
      <c r="F106" s="9" t="s">
        <v>472</v>
      </c>
    </row>
    <row r="107" spans="2:7" x14ac:dyDescent="0.3">
      <c r="B107" s="9">
        <v>105</v>
      </c>
      <c r="C107" s="111"/>
      <c r="D107" s="111"/>
      <c r="E107" s="111"/>
      <c r="F107" s="9" t="s">
        <v>110</v>
      </c>
    </row>
    <row r="108" spans="2:7" x14ac:dyDescent="0.3">
      <c r="B108" s="9">
        <v>106</v>
      </c>
      <c r="C108" s="111"/>
      <c r="D108" s="111"/>
      <c r="E108" s="111">
        <v>14</v>
      </c>
      <c r="F108" s="9" t="s">
        <v>111</v>
      </c>
      <c r="G108" s="1" t="s">
        <v>230</v>
      </c>
    </row>
    <row r="109" spans="2:7" x14ac:dyDescent="0.3">
      <c r="B109" s="9">
        <v>107</v>
      </c>
      <c r="C109" s="111"/>
      <c r="D109" s="111"/>
      <c r="E109" s="111"/>
      <c r="F109" s="9" t="s">
        <v>112</v>
      </c>
      <c r="G109" s="1" t="s">
        <v>230</v>
      </c>
    </row>
    <row r="110" spans="2:7" x14ac:dyDescent="0.3">
      <c r="B110" s="9">
        <v>108</v>
      </c>
      <c r="C110" s="111"/>
      <c r="D110" s="111"/>
      <c r="E110" s="111"/>
      <c r="F110" s="9" t="s">
        <v>113</v>
      </c>
      <c r="G110" s="1" t="s">
        <v>230</v>
      </c>
    </row>
    <row r="111" spans="2:7" x14ac:dyDescent="0.3">
      <c r="B111" s="9">
        <v>109</v>
      </c>
      <c r="C111" s="111"/>
      <c r="D111" s="111"/>
      <c r="E111" s="111"/>
      <c r="F111" s="9" t="s">
        <v>114</v>
      </c>
      <c r="G111" s="1" t="s">
        <v>230</v>
      </c>
    </row>
    <row r="112" spans="2:7" x14ac:dyDescent="0.3">
      <c r="B112" s="9">
        <v>110</v>
      </c>
      <c r="C112" s="111"/>
      <c r="D112" s="111"/>
      <c r="E112" s="111"/>
      <c r="F112" s="9" t="s">
        <v>115</v>
      </c>
      <c r="G112" s="1" t="s">
        <v>230</v>
      </c>
    </row>
    <row r="113" spans="2:9" x14ac:dyDescent="0.3">
      <c r="B113" s="9">
        <v>111</v>
      </c>
      <c r="C113" s="111"/>
      <c r="D113" s="111"/>
      <c r="E113" s="111"/>
      <c r="F113" s="9" t="s">
        <v>116</v>
      </c>
      <c r="G113" s="1" t="s">
        <v>230</v>
      </c>
    </row>
    <row r="114" spans="2:9" x14ac:dyDescent="0.3">
      <c r="B114" s="9">
        <v>112</v>
      </c>
      <c r="C114" s="111"/>
      <c r="D114" s="111"/>
      <c r="E114" s="111"/>
      <c r="F114" s="9" t="s">
        <v>448</v>
      </c>
      <c r="G114" s="1" t="s">
        <v>230</v>
      </c>
      <c r="H114" t="s">
        <v>377</v>
      </c>
    </row>
    <row r="115" spans="2:9" x14ac:dyDescent="0.3">
      <c r="B115" s="9">
        <v>113</v>
      </c>
      <c r="C115" s="111"/>
      <c r="D115" s="111"/>
      <c r="E115" s="111"/>
      <c r="F115" s="9" t="s">
        <v>451</v>
      </c>
      <c r="G115" s="1" t="s">
        <v>230</v>
      </c>
    </row>
    <row r="116" spans="2:9" x14ac:dyDescent="0.3">
      <c r="B116" s="9">
        <v>114</v>
      </c>
      <c r="C116" s="111"/>
      <c r="D116" s="111"/>
      <c r="E116" s="111"/>
      <c r="F116" s="9" t="s">
        <v>452</v>
      </c>
      <c r="G116" s="1" t="s">
        <v>230</v>
      </c>
    </row>
    <row r="117" spans="2:9" x14ac:dyDescent="0.3">
      <c r="B117" s="9">
        <v>115</v>
      </c>
      <c r="C117" s="111"/>
      <c r="D117" s="111"/>
      <c r="E117" s="111"/>
      <c r="F117" s="9" t="s">
        <v>453</v>
      </c>
      <c r="G117" s="1" t="s">
        <v>230</v>
      </c>
    </row>
    <row r="118" spans="2:9" x14ac:dyDescent="0.3">
      <c r="B118" s="9">
        <v>116</v>
      </c>
      <c r="C118" s="111"/>
      <c r="D118" s="111"/>
      <c r="E118" s="111">
        <v>20</v>
      </c>
      <c r="F118" s="9" t="s">
        <v>117</v>
      </c>
    </row>
    <row r="119" spans="2:9" x14ac:dyDescent="0.3">
      <c r="B119" s="9">
        <v>117</v>
      </c>
      <c r="C119" s="111"/>
      <c r="D119" s="111"/>
      <c r="E119" s="111"/>
      <c r="F119" s="9" t="s">
        <v>118</v>
      </c>
    </row>
    <row r="120" spans="2:9" x14ac:dyDescent="0.3">
      <c r="B120" s="9">
        <v>118</v>
      </c>
      <c r="C120" s="111"/>
      <c r="D120" s="111"/>
      <c r="E120" s="111"/>
      <c r="F120" s="9" t="s">
        <v>119</v>
      </c>
    </row>
    <row r="121" spans="2:9" x14ac:dyDescent="0.3">
      <c r="B121" s="9">
        <v>119</v>
      </c>
      <c r="C121" s="111"/>
      <c r="D121" s="111"/>
      <c r="E121" s="111"/>
      <c r="F121" s="9" t="s">
        <v>120</v>
      </c>
    </row>
    <row r="122" spans="2:9" x14ac:dyDescent="0.3">
      <c r="B122" s="9">
        <v>120</v>
      </c>
      <c r="C122" s="111"/>
      <c r="D122" s="111"/>
      <c r="E122" s="111"/>
      <c r="F122" s="9" t="s">
        <v>473</v>
      </c>
    </row>
    <row r="123" spans="2:9" x14ac:dyDescent="0.3">
      <c r="B123" s="9">
        <v>121</v>
      </c>
      <c r="C123" s="111"/>
      <c r="D123" s="111"/>
      <c r="E123" s="111"/>
      <c r="F123" s="9" t="s">
        <v>474</v>
      </c>
      <c r="G123" s="1" t="s">
        <v>230</v>
      </c>
      <c r="H123" t="s">
        <v>440</v>
      </c>
      <c r="I123" t="s">
        <v>662</v>
      </c>
    </row>
    <row r="124" spans="2:9" x14ac:dyDescent="0.3">
      <c r="B124" s="9">
        <v>122</v>
      </c>
      <c r="C124" s="111"/>
      <c r="D124" s="111"/>
      <c r="E124" s="111"/>
      <c r="F124" s="9" t="s">
        <v>121</v>
      </c>
    </row>
    <row r="125" spans="2:9" x14ac:dyDescent="0.3">
      <c r="B125" s="9">
        <v>123</v>
      </c>
      <c r="C125" s="111"/>
      <c r="D125" s="111"/>
      <c r="E125" s="111"/>
      <c r="F125" s="9" t="s">
        <v>122</v>
      </c>
    </row>
    <row r="126" spans="2:9" x14ac:dyDescent="0.3">
      <c r="B126" s="9">
        <v>124</v>
      </c>
      <c r="C126" s="111"/>
      <c r="D126" s="111"/>
      <c r="E126" s="111"/>
      <c r="F126" s="9" t="s">
        <v>123</v>
      </c>
    </row>
    <row r="127" spans="2:9" x14ac:dyDescent="0.3">
      <c r="B127" s="9">
        <v>125</v>
      </c>
      <c r="C127" s="111"/>
      <c r="D127" s="111"/>
      <c r="E127" s="111">
        <v>30</v>
      </c>
      <c r="F127" s="9" t="s">
        <v>124</v>
      </c>
    </row>
    <row r="128" spans="2:9" x14ac:dyDescent="0.3">
      <c r="B128" s="9">
        <v>126</v>
      </c>
      <c r="C128" s="111"/>
      <c r="D128" s="111"/>
      <c r="E128" s="111"/>
      <c r="F128" s="9" t="s">
        <v>125</v>
      </c>
    </row>
    <row r="129" spans="2:6" x14ac:dyDescent="0.3">
      <c r="B129" s="9">
        <v>127</v>
      </c>
      <c r="C129" s="111"/>
      <c r="D129" s="111"/>
      <c r="E129" s="111"/>
      <c r="F129" s="9" t="s">
        <v>126</v>
      </c>
    </row>
    <row r="130" spans="2:6" x14ac:dyDescent="0.3">
      <c r="B130" s="9">
        <v>128</v>
      </c>
      <c r="C130" s="111"/>
      <c r="D130" s="111"/>
      <c r="E130" s="111"/>
      <c r="F130" s="9" t="s">
        <v>127</v>
      </c>
    </row>
    <row r="131" spans="2:6" x14ac:dyDescent="0.3">
      <c r="B131" s="9">
        <v>129</v>
      </c>
      <c r="C131" s="111"/>
      <c r="D131" s="111"/>
      <c r="E131" s="111"/>
      <c r="F131" s="9" t="s">
        <v>128</v>
      </c>
    </row>
    <row r="132" spans="2:6" x14ac:dyDescent="0.3">
      <c r="B132" s="9">
        <v>130</v>
      </c>
      <c r="C132" s="111"/>
      <c r="D132" s="111"/>
      <c r="E132" s="111"/>
      <c r="F132" s="9" t="s">
        <v>475</v>
      </c>
    </row>
    <row r="133" spans="2:6" x14ac:dyDescent="0.3">
      <c r="B133" s="9">
        <v>131</v>
      </c>
      <c r="C133" s="111"/>
      <c r="D133" s="111"/>
      <c r="E133" s="26">
        <v>37</v>
      </c>
      <c r="F133" s="9" t="s">
        <v>129</v>
      </c>
    </row>
    <row r="134" spans="2:6" x14ac:dyDescent="0.3">
      <c r="B134" s="9">
        <v>132</v>
      </c>
      <c r="C134" s="111"/>
      <c r="D134" s="111"/>
      <c r="E134" s="111">
        <v>38</v>
      </c>
      <c r="F134" s="9" t="s">
        <v>130</v>
      </c>
    </row>
    <row r="135" spans="2:6" x14ac:dyDescent="0.3">
      <c r="B135" s="9">
        <v>133</v>
      </c>
      <c r="C135" s="111"/>
      <c r="D135" s="111"/>
      <c r="E135" s="111"/>
      <c r="F135" s="9" t="s">
        <v>131</v>
      </c>
    </row>
    <row r="136" spans="2:6" x14ac:dyDescent="0.3">
      <c r="B136" s="9">
        <v>134</v>
      </c>
      <c r="C136" s="111"/>
      <c r="D136" s="111"/>
      <c r="E136" s="111" t="s">
        <v>224</v>
      </c>
      <c r="F136" s="9" t="s">
        <v>132</v>
      </c>
    </row>
    <row r="137" spans="2:6" x14ac:dyDescent="0.3">
      <c r="B137" s="9">
        <v>135</v>
      </c>
      <c r="C137" s="111"/>
      <c r="D137" s="111"/>
      <c r="E137" s="111"/>
      <c r="F137" s="9" t="s">
        <v>133</v>
      </c>
    </row>
    <row r="138" spans="2:6" x14ac:dyDescent="0.3">
      <c r="B138" s="9">
        <v>136</v>
      </c>
      <c r="C138" s="112" t="s">
        <v>221</v>
      </c>
      <c r="D138" s="112" t="s">
        <v>225</v>
      </c>
      <c r="E138" s="27">
        <v>0</v>
      </c>
      <c r="F138" s="9" t="s">
        <v>134</v>
      </c>
    </row>
    <row r="139" spans="2:6" x14ac:dyDescent="0.3">
      <c r="B139" s="9">
        <v>137</v>
      </c>
      <c r="C139" s="112"/>
      <c r="D139" s="112"/>
      <c r="E139" s="112">
        <v>1</v>
      </c>
      <c r="F139" s="9" t="s">
        <v>135</v>
      </c>
    </row>
    <row r="140" spans="2:6" x14ac:dyDescent="0.3">
      <c r="B140" s="9">
        <v>138</v>
      </c>
      <c r="C140" s="112"/>
      <c r="D140" s="112"/>
      <c r="E140" s="112"/>
      <c r="F140" s="9" t="s">
        <v>136</v>
      </c>
    </row>
    <row r="141" spans="2:6" x14ac:dyDescent="0.3">
      <c r="B141" s="9">
        <v>139</v>
      </c>
      <c r="C141" s="112"/>
      <c r="D141" s="112"/>
      <c r="E141" s="112"/>
      <c r="F141" s="9" t="s">
        <v>137</v>
      </c>
    </row>
    <row r="142" spans="2:6" x14ac:dyDescent="0.3">
      <c r="B142" s="9">
        <v>140</v>
      </c>
      <c r="C142" s="112"/>
      <c r="D142" s="112"/>
      <c r="E142" s="112"/>
      <c r="F142" s="9" t="s">
        <v>138</v>
      </c>
    </row>
    <row r="143" spans="2:6" x14ac:dyDescent="0.3">
      <c r="B143" s="9">
        <v>141</v>
      </c>
      <c r="C143" s="112"/>
      <c r="D143" s="112"/>
      <c r="E143" s="112"/>
      <c r="F143" s="9" t="s">
        <v>139</v>
      </c>
    </row>
    <row r="144" spans="2:6" x14ac:dyDescent="0.3">
      <c r="B144" s="9">
        <v>142</v>
      </c>
      <c r="C144" s="112"/>
      <c r="D144" s="112"/>
      <c r="E144" s="112"/>
      <c r="F144" s="9" t="s">
        <v>140</v>
      </c>
    </row>
    <row r="145" spans="2:9" x14ac:dyDescent="0.3">
      <c r="B145" s="9">
        <v>143</v>
      </c>
      <c r="C145" s="112"/>
      <c r="D145" s="112"/>
      <c r="E145" s="112"/>
      <c r="F145" s="9" t="s">
        <v>141</v>
      </c>
    </row>
    <row r="146" spans="2:9" x14ac:dyDescent="0.3">
      <c r="B146" s="9">
        <v>144</v>
      </c>
      <c r="C146" s="112"/>
      <c r="D146" s="112"/>
      <c r="E146" s="112"/>
      <c r="F146" s="9" t="s">
        <v>142</v>
      </c>
    </row>
    <row r="147" spans="2:9" x14ac:dyDescent="0.3">
      <c r="B147" s="9">
        <v>145</v>
      </c>
      <c r="C147" s="112"/>
      <c r="D147" s="112"/>
      <c r="E147" s="112"/>
      <c r="F147" s="9" t="s">
        <v>143</v>
      </c>
    </row>
    <row r="148" spans="2:9" x14ac:dyDescent="0.3">
      <c r="B148" s="9">
        <v>146</v>
      </c>
      <c r="C148" s="112"/>
      <c r="D148" s="112"/>
      <c r="E148" s="112"/>
      <c r="F148" s="9" t="s">
        <v>144</v>
      </c>
    </row>
    <row r="149" spans="2:9" x14ac:dyDescent="0.3">
      <c r="B149" s="9">
        <v>147</v>
      </c>
      <c r="C149" s="112"/>
      <c r="D149" s="112"/>
      <c r="E149" s="112"/>
      <c r="F149" s="9" t="s">
        <v>147</v>
      </c>
    </row>
    <row r="150" spans="2:9" x14ac:dyDescent="0.3">
      <c r="B150" s="9">
        <v>148</v>
      </c>
      <c r="C150" s="112"/>
      <c r="D150" s="112"/>
      <c r="E150" s="112"/>
      <c r="F150" s="9" t="s">
        <v>148</v>
      </c>
    </row>
    <row r="151" spans="2:9" x14ac:dyDescent="0.3">
      <c r="B151" s="9">
        <v>149</v>
      </c>
      <c r="C151" s="112"/>
      <c r="D151" s="112"/>
      <c r="E151" s="112"/>
      <c r="F151" s="9" t="s">
        <v>150</v>
      </c>
    </row>
    <row r="152" spans="2:9" x14ac:dyDescent="0.3">
      <c r="B152" s="9">
        <v>150</v>
      </c>
      <c r="C152" s="112"/>
      <c r="D152" s="112"/>
      <c r="E152" s="112"/>
      <c r="F152" s="9" t="s">
        <v>151</v>
      </c>
    </row>
    <row r="153" spans="2:9" x14ac:dyDescent="0.3">
      <c r="B153" s="9">
        <v>151</v>
      </c>
      <c r="C153" s="112"/>
      <c r="D153" s="112"/>
      <c r="E153" s="112"/>
      <c r="F153" s="9" t="s">
        <v>152</v>
      </c>
      <c r="G153" s="1" t="s">
        <v>230</v>
      </c>
    </row>
    <row r="154" spans="2:9" x14ac:dyDescent="0.3">
      <c r="B154" s="9">
        <v>152</v>
      </c>
      <c r="C154" s="112"/>
      <c r="D154" s="112"/>
      <c r="E154" s="112"/>
      <c r="F154" s="9" t="s">
        <v>153</v>
      </c>
    </row>
    <row r="155" spans="2:9" x14ac:dyDescent="0.3">
      <c r="B155" s="9">
        <v>153</v>
      </c>
      <c r="C155" s="112"/>
      <c r="D155" s="112"/>
      <c r="E155" s="112"/>
      <c r="F155" s="9" t="s">
        <v>145</v>
      </c>
    </row>
    <row r="156" spans="2:9" x14ac:dyDescent="0.3">
      <c r="B156" s="9">
        <v>154</v>
      </c>
      <c r="C156" s="112"/>
      <c r="D156" s="112"/>
      <c r="E156" s="112"/>
      <c r="F156" s="9" t="s">
        <v>146</v>
      </c>
    </row>
    <row r="157" spans="2:9" x14ac:dyDescent="0.3">
      <c r="B157" s="9">
        <v>155</v>
      </c>
      <c r="C157" s="112"/>
      <c r="D157" s="112"/>
      <c r="E157" s="112"/>
      <c r="F157" s="9" t="s">
        <v>149</v>
      </c>
      <c r="G157" s="1" t="s">
        <v>230</v>
      </c>
      <c r="H157" t="s">
        <v>440</v>
      </c>
      <c r="I157" t="s">
        <v>381</v>
      </c>
    </row>
    <row r="158" spans="2:9" x14ac:dyDescent="0.3">
      <c r="B158" s="9">
        <v>156</v>
      </c>
      <c r="C158" s="112"/>
      <c r="D158" s="112"/>
      <c r="E158" s="112"/>
      <c r="F158" s="9" t="s">
        <v>154</v>
      </c>
    </row>
    <row r="159" spans="2:9" x14ac:dyDescent="0.3">
      <c r="B159" s="9">
        <v>157</v>
      </c>
      <c r="C159" s="112"/>
      <c r="D159" s="112"/>
      <c r="E159" s="112"/>
      <c r="F159" s="9" t="s">
        <v>155</v>
      </c>
    </row>
    <row r="160" spans="2:9" x14ac:dyDescent="0.3">
      <c r="B160" s="9">
        <v>158</v>
      </c>
      <c r="C160" s="112"/>
      <c r="D160" s="112"/>
      <c r="E160" s="112"/>
      <c r="F160" s="9" t="s">
        <v>476</v>
      </c>
    </row>
    <row r="161" spans="2:9" x14ac:dyDescent="0.3">
      <c r="B161" s="9">
        <v>159</v>
      </c>
      <c r="C161" s="112"/>
      <c r="D161" s="112"/>
      <c r="E161" s="112"/>
      <c r="F161" s="9" t="s">
        <v>477</v>
      </c>
    </row>
    <row r="162" spans="2:9" x14ac:dyDescent="0.3">
      <c r="B162" s="9">
        <v>160</v>
      </c>
      <c r="C162" s="112"/>
      <c r="D162" s="112"/>
      <c r="E162" s="112">
        <v>2</v>
      </c>
      <c r="F162" s="9" t="s">
        <v>156</v>
      </c>
    </row>
    <row r="163" spans="2:9" x14ac:dyDescent="0.3">
      <c r="B163" s="9">
        <v>161</v>
      </c>
      <c r="C163" s="112"/>
      <c r="D163" s="112"/>
      <c r="E163" s="112"/>
      <c r="F163" s="9" t="s">
        <v>157</v>
      </c>
    </row>
    <row r="164" spans="2:9" x14ac:dyDescent="0.3">
      <c r="B164" s="9">
        <v>162</v>
      </c>
      <c r="C164" s="112"/>
      <c r="D164" s="112"/>
      <c r="E164" s="112"/>
      <c r="F164" s="9" t="s">
        <v>158</v>
      </c>
    </row>
    <row r="165" spans="2:9" x14ac:dyDescent="0.3">
      <c r="B165" s="9">
        <v>163</v>
      </c>
      <c r="C165" s="112"/>
      <c r="D165" s="112"/>
      <c r="E165" s="112">
        <v>3</v>
      </c>
      <c r="F165" s="9" t="s">
        <v>159</v>
      </c>
    </row>
    <row r="166" spans="2:9" x14ac:dyDescent="0.3">
      <c r="B166" s="9">
        <v>164</v>
      </c>
      <c r="C166" s="112"/>
      <c r="D166" s="112"/>
      <c r="E166" s="112"/>
      <c r="F166" s="9" t="s">
        <v>480</v>
      </c>
      <c r="G166" s="1" t="s">
        <v>634</v>
      </c>
      <c r="I166" s="39" t="s">
        <v>663</v>
      </c>
    </row>
    <row r="167" spans="2:9" x14ac:dyDescent="0.3">
      <c r="B167" s="9">
        <v>165</v>
      </c>
      <c r="C167" s="112"/>
      <c r="D167" s="112"/>
      <c r="E167" s="112"/>
      <c r="F167" s="9" t="s">
        <v>478</v>
      </c>
    </row>
    <row r="168" spans="2:9" x14ac:dyDescent="0.3">
      <c r="B168" s="9">
        <v>166</v>
      </c>
      <c r="C168" s="112"/>
      <c r="D168" s="112"/>
      <c r="E168" s="112"/>
      <c r="F168" s="9" t="s">
        <v>479</v>
      </c>
    </row>
    <row r="169" spans="2:9" x14ac:dyDescent="0.3">
      <c r="B169" s="9">
        <v>167</v>
      </c>
      <c r="C169" s="112"/>
      <c r="D169" s="112"/>
      <c r="E169" s="112">
        <v>4</v>
      </c>
      <c r="F169" s="9" t="s">
        <v>162</v>
      </c>
      <c r="G169" s="1" t="s">
        <v>230</v>
      </c>
      <c r="H169" t="s">
        <v>440</v>
      </c>
      <c r="I169" t="s">
        <v>382</v>
      </c>
    </row>
    <row r="170" spans="2:9" x14ac:dyDescent="0.3">
      <c r="B170" s="9">
        <v>168</v>
      </c>
      <c r="C170" s="112"/>
      <c r="D170" s="112"/>
      <c r="E170" s="112"/>
      <c r="F170" s="9" t="s">
        <v>163</v>
      </c>
      <c r="G170" s="1" t="s">
        <v>230</v>
      </c>
    </row>
    <row r="171" spans="2:9" x14ac:dyDescent="0.3">
      <c r="B171" s="9">
        <v>169</v>
      </c>
      <c r="C171" s="112"/>
      <c r="D171" s="112"/>
      <c r="E171" s="112"/>
      <c r="F171" s="9" t="s">
        <v>164</v>
      </c>
      <c r="G171" s="1" t="s">
        <v>230</v>
      </c>
    </row>
    <row r="172" spans="2:9" x14ac:dyDescent="0.3">
      <c r="B172" s="9">
        <v>170</v>
      </c>
      <c r="C172" s="112"/>
      <c r="D172" s="112"/>
      <c r="E172" s="112"/>
      <c r="F172" s="9" t="s">
        <v>165</v>
      </c>
      <c r="G172" s="1" t="s">
        <v>230</v>
      </c>
    </row>
    <row r="173" spans="2:9" x14ac:dyDescent="0.3">
      <c r="B173" s="9">
        <v>171</v>
      </c>
      <c r="C173" s="112"/>
      <c r="D173" s="112"/>
      <c r="E173" s="112"/>
      <c r="F173" s="9" t="s">
        <v>166</v>
      </c>
      <c r="G173" s="1" t="s">
        <v>230</v>
      </c>
    </row>
    <row r="174" spans="2:9" x14ac:dyDescent="0.3">
      <c r="B174" s="9">
        <v>172</v>
      </c>
      <c r="C174" s="112"/>
      <c r="D174" s="112"/>
      <c r="E174" s="112"/>
      <c r="F174" s="9" t="s">
        <v>167</v>
      </c>
      <c r="G174" s="1" t="s">
        <v>230</v>
      </c>
    </row>
    <row r="175" spans="2:9" x14ac:dyDescent="0.3">
      <c r="B175" s="9">
        <v>173</v>
      </c>
      <c r="C175" s="112"/>
      <c r="D175" s="112"/>
      <c r="E175" s="112"/>
      <c r="F175" s="9" t="s">
        <v>168</v>
      </c>
      <c r="G175" s="1" t="s">
        <v>230</v>
      </c>
    </row>
    <row r="176" spans="2:9" x14ac:dyDescent="0.3">
      <c r="B176" s="9">
        <v>174</v>
      </c>
      <c r="C176" s="112"/>
      <c r="D176" s="112"/>
      <c r="E176" s="112"/>
      <c r="F176" s="9" t="s">
        <v>169</v>
      </c>
      <c r="G176" s="1" t="s">
        <v>230</v>
      </c>
    </row>
    <row r="177" spans="2:7" x14ac:dyDescent="0.3">
      <c r="B177" s="9">
        <v>175</v>
      </c>
      <c r="C177" s="112"/>
      <c r="D177" s="112"/>
      <c r="E177" s="112"/>
      <c r="F177" s="9" t="s">
        <v>170</v>
      </c>
      <c r="G177" s="1" t="s">
        <v>230</v>
      </c>
    </row>
    <row r="178" spans="2:7" x14ac:dyDescent="0.3">
      <c r="B178" s="9">
        <v>176</v>
      </c>
      <c r="C178" s="112"/>
      <c r="D178" s="112"/>
      <c r="E178" s="112"/>
      <c r="F178" s="9" t="s">
        <v>171</v>
      </c>
      <c r="G178" s="1" t="s">
        <v>230</v>
      </c>
    </row>
    <row r="179" spans="2:7" x14ac:dyDescent="0.3">
      <c r="B179" s="9">
        <v>177</v>
      </c>
      <c r="C179" s="112"/>
      <c r="D179" s="112"/>
      <c r="E179" s="112"/>
      <c r="F179" s="9" t="s">
        <v>481</v>
      </c>
    </row>
    <row r="180" spans="2:7" x14ac:dyDescent="0.3">
      <c r="B180" s="9">
        <v>178</v>
      </c>
      <c r="C180" s="112"/>
      <c r="D180" s="112"/>
      <c r="E180" s="112"/>
      <c r="F180" s="9" t="s">
        <v>172</v>
      </c>
      <c r="G180" s="1" t="s">
        <v>230</v>
      </c>
    </row>
    <row r="181" spans="2:7" x14ac:dyDescent="0.3">
      <c r="B181" s="9">
        <v>179</v>
      </c>
      <c r="C181" s="112"/>
      <c r="D181" s="112"/>
      <c r="E181" s="112"/>
      <c r="F181" s="9" t="s">
        <v>173</v>
      </c>
      <c r="G181" s="1" t="s">
        <v>230</v>
      </c>
    </row>
    <row r="182" spans="2:7" x14ac:dyDescent="0.3">
      <c r="B182" s="9">
        <v>180</v>
      </c>
      <c r="C182" s="112"/>
      <c r="D182" s="112"/>
      <c r="E182" s="112"/>
      <c r="F182" s="9" t="s">
        <v>174</v>
      </c>
      <c r="G182" s="1" t="s">
        <v>230</v>
      </c>
    </row>
    <row r="183" spans="2:7" x14ac:dyDescent="0.3">
      <c r="B183" s="9">
        <v>181</v>
      </c>
      <c r="C183" s="112"/>
      <c r="D183" s="112"/>
      <c r="E183" s="112"/>
      <c r="F183" s="9" t="s">
        <v>175</v>
      </c>
      <c r="G183" s="1" t="s">
        <v>230</v>
      </c>
    </row>
    <row r="184" spans="2:7" x14ac:dyDescent="0.3">
      <c r="B184" s="9">
        <v>182</v>
      </c>
      <c r="C184" s="112"/>
      <c r="D184" s="112"/>
      <c r="E184" s="112"/>
      <c r="F184" s="9" t="s">
        <v>176</v>
      </c>
      <c r="G184" s="1" t="s">
        <v>230</v>
      </c>
    </row>
    <row r="185" spans="2:7" x14ac:dyDescent="0.3">
      <c r="B185" s="9">
        <v>183</v>
      </c>
      <c r="C185" s="112"/>
      <c r="D185" s="112"/>
      <c r="E185" s="112"/>
      <c r="F185" s="9" t="s">
        <v>177</v>
      </c>
      <c r="G185" s="1" t="s">
        <v>230</v>
      </c>
    </row>
    <row r="186" spans="2:7" x14ac:dyDescent="0.3">
      <c r="B186" s="9">
        <v>184</v>
      </c>
      <c r="C186" s="112"/>
      <c r="D186" s="112"/>
      <c r="E186" s="112"/>
      <c r="F186" s="9" t="s">
        <v>482</v>
      </c>
    </row>
    <row r="187" spans="2:7" x14ac:dyDescent="0.3">
      <c r="B187" s="9">
        <v>185</v>
      </c>
      <c r="C187" s="112"/>
      <c r="D187" s="112"/>
      <c r="E187" s="112">
        <v>5</v>
      </c>
      <c r="F187" s="9" t="s">
        <v>178</v>
      </c>
    </row>
    <row r="188" spans="2:7" x14ac:dyDescent="0.3">
      <c r="B188" s="9">
        <v>186</v>
      </c>
      <c r="C188" s="112"/>
      <c r="D188" s="112"/>
      <c r="E188" s="112"/>
      <c r="F188" s="9" t="s">
        <v>179</v>
      </c>
    </row>
    <row r="189" spans="2:7" x14ac:dyDescent="0.3">
      <c r="B189" s="9">
        <v>187</v>
      </c>
      <c r="C189" s="112"/>
      <c r="D189" s="112"/>
      <c r="E189" s="112"/>
      <c r="F189" s="9" t="s">
        <v>180</v>
      </c>
    </row>
    <row r="190" spans="2:7" x14ac:dyDescent="0.3">
      <c r="B190" s="9">
        <v>188</v>
      </c>
      <c r="C190" s="112"/>
      <c r="D190" s="112"/>
      <c r="E190" s="112"/>
      <c r="F190" s="9" t="s">
        <v>483</v>
      </c>
    </row>
    <row r="191" spans="2:7" x14ac:dyDescent="0.3">
      <c r="B191" s="9">
        <v>189</v>
      </c>
      <c r="C191" s="112"/>
      <c r="D191" s="112"/>
      <c r="E191" s="112"/>
      <c r="F191" s="9" t="s">
        <v>484</v>
      </c>
    </row>
    <row r="192" spans="2:7" x14ac:dyDescent="0.3">
      <c r="B192" s="9">
        <v>190</v>
      </c>
      <c r="C192" s="112"/>
      <c r="D192" s="112"/>
      <c r="E192" s="112"/>
      <c r="F192" s="9" t="s">
        <v>485</v>
      </c>
    </row>
    <row r="193" spans="2:6" x14ac:dyDescent="0.3">
      <c r="B193" s="9">
        <v>191</v>
      </c>
      <c r="C193" s="112"/>
      <c r="D193" s="112"/>
      <c r="E193" s="112">
        <v>6</v>
      </c>
      <c r="F193" s="9" t="s">
        <v>181</v>
      </c>
    </row>
    <row r="194" spans="2:6" x14ac:dyDescent="0.3">
      <c r="B194" s="9">
        <v>192</v>
      </c>
      <c r="C194" s="112"/>
      <c r="D194" s="112"/>
      <c r="E194" s="112"/>
      <c r="F194" s="9" t="s">
        <v>486</v>
      </c>
    </row>
    <row r="195" spans="2:6" x14ac:dyDescent="0.3">
      <c r="B195" s="9">
        <v>193</v>
      </c>
      <c r="C195" s="112"/>
      <c r="D195" s="112"/>
      <c r="E195" s="112"/>
      <c r="F195" s="9" t="s">
        <v>487</v>
      </c>
    </row>
    <row r="196" spans="2:6" x14ac:dyDescent="0.3">
      <c r="B196" s="9">
        <v>194</v>
      </c>
      <c r="C196" s="112"/>
      <c r="D196" s="112"/>
      <c r="E196" s="112"/>
      <c r="F196" s="9" t="s">
        <v>488</v>
      </c>
    </row>
    <row r="197" spans="2:6" x14ac:dyDescent="0.3">
      <c r="B197" s="9">
        <v>195</v>
      </c>
      <c r="C197" s="112"/>
      <c r="D197" s="112"/>
      <c r="E197" s="112"/>
      <c r="F197" s="9" t="s">
        <v>489</v>
      </c>
    </row>
    <row r="198" spans="2:6" x14ac:dyDescent="0.3">
      <c r="B198" s="9">
        <v>196</v>
      </c>
      <c r="C198" s="112"/>
      <c r="D198" s="112"/>
      <c r="E198" s="27">
        <v>7</v>
      </c>
      <c r="F198" s="9" t="s">
        <v>490</v>
      </c>
    </row>
    <row r="199" spans="2:6" x14ac:dyDescent="0.3">
      <c r="B199" s="9">
        <v>197</v>
      </c>
      <c r="C199" s="112"/>
      <c r="D199" s="112"/>
      <c r="E199" s="112" t="s">
        <v>540</v>
      </c>
      <c r="F199" s="9" t="s">
        <v>491</v>
      </c>
    </row>
    <row r="200" spans="2:6" x14ac:dyDescent="0.3">
      <c r="B200" s="9">
        <v>198</v>
      </c>
      <c r="C200" s="112"/>
      <c r="D200" s="112"/>
      <c r="E200" s="112"/>
      <c r="F200" s="9" t="s">
        <v>492</v>
      </c>
    </row>
    <row r="201" spans="2:6" x14ac:dyDescent="0.3">
      <c r="B201" s="9">
        <v>199</v>
      </c>
      <c r="C201" s="112"/>
      <c r="D201" s="112"/>
      <c r="E201" s="112">
        <v>10</v>
      </c>
      <c r="F201" s="9" t="s">
        <v>182</v>
      </c>
    </row>
    <row r="202" spans="2:6" x14ac:dyDescent="0.3">
      <c r="B202" s="9">
        <v>200</v>
      </c>
      <c r="C202" s="112"/>
      <c r="D202" s="112"/>
      <c r="E202" s="112"/>
      <c r="F202" s="9" t="s">
        <v>183</v>
      </c>
    </row>
    <row r="203" spans="2:6" x14ac:dyDescent="0.3">
      <c r="B203" s="9">
        <v>201</v>
      </c>
      <c r="C203" s="112"/>
      <c r="D203" s="112"/>
      <c r="E203" s="112"/>
      <c r="F203" s="9" t="s">
        <v>184</v>
      </c>
    </row>
    <row r="204" spans="2:6" x14ac:dyDescent="0.3">
      <c r="B204" s="9">
        <v>202</v>
      </c>
      <c r="C204" s="112"/>
      <c r="D204" s="112"/>
      <c r="E204" s="112"/>
      <c r="F204" s="9" t="s">
        <v>493</v>
      </c>
    </row>
    <row r="205" spans="2:6" x14ac:dyDescent="0.3">
      <c r="B205" s="9">
        <v>203</v>
      </c>
      <c r="C205" s="112"/>
      <c r="D205" s="112"/>
      <c r="E205" s="112"/>
      <c r="F205" s="9" t="s">
        <v>494</v>
      </c>
    </row>
    <row r="206" spans="2:6" x14ac:dyDescent="0.3">
      <c r="B206" s="9">
        <v>204</v>
      </c>
      <c r="C206" s="112"/>
      <c r="D206" s="112"/>
      <c r="E206" s="112"/>
      <c r="F206" s="9" t="s">
        <v>495</v>
      </c>
    </row>
    <row r="207" spans="2:6" x14ac:dyDescent="0.3">
      <c r="B207" s="9">
        <v>205</v>
      </c>
      <c r="C207" s="112"/>
      <c r="D207" s="112"/>
      <c r="E207" s="112">
        <v>11</v>
      </c>
      <c r="F207" s="9" t="s">
        <v>185</v>
      </c>
    </row>
    <row r="208" spans="2:6" x14ac:dyDescent="0.3">
      <c r="B208" s="9">
        <v>206</v>
      </c>
      <c r="C208" s="112"/>
      <c r="D208" s="112"/>
      <c r="E208" s="112"/>
      <c r="F208" s="9" t="s">
        <v>186</v>
      </c>
    </row>
    <row r="209" spans="2:6" x14ac:dyDescent="0.3">
      <c r="B209" s="9">
        <v>207</v>
      </c>
      <c r="C209" s="112"/>
      <c r="D209" s="112"/>
      <c r="E209" s="112"/>
      <c r="F209" s="9" t="s">
        <v>187</v>
      </c>
    </row>
    <row r="210" spans="2:6" x14ac:dyDescent="0.3">
      <c r="B210" s="9">
        <v>208</v>
      </c>
      <c r="C210" s="112"/>
      <c r="D210" s="112"/>
      <c r="E210" s="112"/>
      <c r="F210" s="9" t="s">
        <v>188</v>
      </c>
    </row>
    <row r="211" spans="2:6" x14ac:dyDescent="0.3">
      <c r="B211" s="9">
        <v>209</v>
      </c>
      <c r="C211" s="112"/>
      <c r="D211" s="112"/>
      <c r="E211" s="112"/>
      <c r="F211" s="9" t="s">
        <v>189</v>
      </c>
    </row>
    <row r="212" spans="2:6" x14ac:dyDescent="0.3">
      <c r="B212" s="9">
        <v>210</v>
      </c>
      <c r="C212" s="112"/>
      <c r="D212" s="112"/>
      <c r="E212" s="112"/>
      <c r="F212" s="9" t="s">
        <v>190</v>
      </c>
    </row>
    <row r="213" spans="2:6" x14ac:dyDescent="0.3">
      <c r="B213" s="9">
        <v>211</v>
      </c>
      <c r="C213" s="112"/>
      <c r="D213" s="112"/>
      <c r="E213" s="112"/>
      <c r="F213" s="9" t="s">
        <v>191</v>
      </c>
    </row>
    <row r="214" spans="2:6" x14ac:dyDescent="0.3">
      <c r="B214" s="9">
        <v>212</v>
      </c>
      <c r="C214" s="112"/>
      <c r="D214" s="112"/>
      <c r="E214" s="112"/>
      <c r="F214" s="9" t="s">
        <v>192</v>
      </c>
    </row>
    <row r="215" spans="2:6" x14ac:dyDescent="0.3">
      <c r="B215" s="9">
        <v>213</v>
      </c>
      <c r="C215" s="112"/>
      <c r="D215" s="112"/>
      <c r="E215" s="112"/>
      <c r="F215" s="9" t="s">
        <v>496</v>
      </c>
    </row>
    <row r="216" spans="2:6" x14ac:dyDescent="0.3">
      <c r="B216" s="9">
        <v>214</v>
      </c>
      <c r="C216" s="112"/>
      <c r="D216" s="112"/>
      <c r="E216" s="112">
        <v>14</v>
      </c>
      <c r="F216" s="9" t="s">
        <v>497</v>
      </c>
    </row>
    <row r="217" spans="2:6" x14ac:dyDescent="0.3">
      <c r="B217" s="9">
        <v>215</v>
      </c>
      <c r="C217" s="112"/>
      <c r="D217" s="112"/>
      <c r="E217" s="112"/>
      <c r="F217" s="9" t="s">
        <v>498</v>
      </c>
    </row>
    <row r="218" spans="2:6" x14ac:dyDescent="0.3">
      <c r="B218" s="9">
        <v>216</v>
      </c>
      <c r="C218" s="112"/>
      <c r="D218" s="112"/>
      <c r="E218" s="112"/>
      <c r="F218" s="9" t="s">
        <v>499</v>
      </c>
    </row>
    <row r="219" spans="2:6" x14ac:dyDescent="0.3">
      <c r="B219" s="9">
        <v>217</v>
      </c>
      <c r="C219" s="112"/>
      <c r="D219" s="112"/>
      <c r="E219" s="112"/>
      <c r="F219" s="9" t="s">
        <v>500</v>
      </c>
    </row>
    <row r="220" spans="2:6" x14ac:dyDescent="0.3">
      <c r="B220" s="9">
        <v>218</v>
      </c>
      <c r="C220" s="112"/>
      <c r="D220" s="112"/>
      <c r="E220" s="112"/>
      <c r="F220" s="9" t="s">
        <v>501</v>
      </c>
    </row>
    <row r="221" spans="2:6" x14ac:dyDescent="0.3">
      <c r="B221" s="9">
        <v>219</v>
      </c>
      <c r="C221" s="112"/>
      <c r="D221" s="112"/>
      <c r="E221" s="112"/>
      <c r="F221" s="9" t="s">
        <v>502</v>
      </c>
    </row>
    <row r="222" spans="2:6" x14ac:dyDescent="0.3">
      <c r="B222" s="9">
        <v>220</v>
      </c>
      <c r="C222" s="112"/>
      <c r="D222" s="112"/>
      <c r="E222" s="112"/>
      <c r="F222" s="9" t="s">
        <v>503</v>
      </c>
    </row>
    <row r="223" spans="2:6" x14ac:dyDescent="0.3">
      <c r="B223" s="9">
        <v>221</v>
      </c>
      <c r="C223" s="112"/>
      <c r="D223" s="112"/>
      <c r="E223" s="112"/>
      <c r="F223" s="9" t="s">
        <v>504</v>
      </c>
    </row>
    <row r="224" spans="2:6" x14ac:dyDescent="0.3">
      <c r="B224" s="9">
        <v>222</v>
      </c>
      <c r="C224" s="112"/>
      <c r="D224" s="112"/>
      <c r="E224" s="112"/>
      <c r="F224" s="9" t="s">
        <v>505</v>
      </c>
    </row>
    <row r="225" spans="2:6" x14ac:dyDescent="0.3">
      <c r="B225" s="9">
        <v>223</v>
      </c>
      <c r="C225" s="112"/>
      <c r="D225" s="112"/>
      <c r="E225" s="112"/>
      <c r="F225" s="9" t="s">
        <v>506</v>
      </c>
    </row>
    <row r="226" spans="2:6" x14ac:dyDescent="0.3">
      <c r="B226" s="9">
        <v>224</v>
      </c>
      <c r="C226" s="112"/>
      <c r="D226" s="112"/>
      <c r="E226" s="112"/>
      <c r="F226" s="9" t="s">
        <v>508</v>
      </c>
    </row>
    <row r="227" spans="2:6" x14ac:dyDescent="0.3">
      <c r="B227" s="9">
        <v>225</v>
      </c>
      <c r="C227" s="112"/>
      <c r="D227" s="112"/>
      <c r="E227" s="112"/>
      <c r="F227" s="9" t="s">
        <v>509</v>
      </c>
    </row>
    <row r="228" spans="2:6" x14ac:dyDescent="0.3">
      <c r="B228" s="9">
        <v>226</v>
      </c>
      <c r="C228" s="112"/>
      <c r="D228" s="112"/>
      <c r="E228" s="112"/>
      <c r="F228" s="9" t="s">
        <v>510</v>
      </c>
    </row>
    <row r="229" spans="2:6" x14ac:dyDescent="0.3">
      <c r="B229" s="9">
        <v>227</v>
      </c>
      <c r="C229" s="112"/>
      <c r="D229" s="112"/>
      <c r="E229" s="112"/>
      <c r="F229" s="9" t="s">
        <v>511</v>
      </c>
    </row>
    <row r="230" spans="2:6" x14ac:dyDescent="0.3">
      <c r="B230" s="9">
        <v>228</v>
      </c>
      <c r="C230" s="112"/>
      <c r="D230" s="112"/>
      <c r="E230" s="112"/>
      <c r="F230" s="9" t="s">
        <v>512</v>
      </c>
    </row>
    <row r="231" spans="2:6" x14ac:dyDescent="0.3">
      <c r="B231" s="9">
        <v>229</v>
      </c>
      <c r="C231" s="112"/>
      <c r="D231" s="112"/>
      <c r="E231" s="112"/>
      <c r="F231" s="9" t="s">
        <v>513</v>
      </c>
    </row>
    <row r="232" spans="2:6" x14ac:dyDescent="0.3">
      <c r="B232" s="9">
        <v>230</v>
      </c>
      <c r="C232" s="112"/>
      <c r="D232" s="112"/>
      <c r="E232" s="112"/>
      <c r="F232" s="9" t="s">
        <v>507</v>
      </c>
    </row>
    <row r="233" spans="2:6" x14ac:dyDescent="0.3">
      <c r="B233" s="9">
        <v>231</v>
      </c>
      <c r="C233" s="112"/>
      <c r="D233" s="112"/>
      <c r="E233" s="112"/>
      <c r="F233" s="9" t="s">
        <v>520</v>
      </c>
    </row>
    <row r="234" spans="2:6" x14ac:dyDescent="0.3">
      <c r="B234" s="9">
        <v>232</v>
      </c>
      <c r="C234" s="112"/>
      <c r="D234" s="112"/>
      <c r="E234" s="112"/>
      <c r="F234" s="9" t="s">
        <v>521</v>
      </c>
    </row>
    <row r="235" spans="2:6" x14ac:dyDescent="0.3">
      <c r="B235" s="9">
        <v>233</v>
      </c>
      <c r="C235" s="112"/>
      <c r="D235" s="112"/>
      <c r="E235" s="112"/>
      <c r="F235" s="9" t="s">
        <v>522</v>
      </c>
    </row>
    <row r="236" spans="2:6" x14ac:dyDescent="0.3">
      <c r="B236" s="9">
        <v>234</v>
      </c>
      <c r="C236" s="112"/>
      <c r="D236" s="112"/>
      <c r="E236" s="112"/>
      <c r="F236" s="9" t="s">
        <v>523</v>
      </c>
    </row>
    <row r="237" spans="2:6" x14ac:dyDescent="0.3">
      <c r="B237" s="9">
        <v>235</v>
      </c>
      <c r="C237" s="112"/>
      <c r="D237" s="112"/>
      <c r="E237" s="112"/>
      <c r="F237" s="9" t="s">
        <v>514</v>
      </c>
    </row>
    <row r="238" spans="2:6" x14ac:dyDescent="0.3">
      <c r="B238" s="9">
        <v>236</v>
      </c>
      <c r="C238" s="112"/>
      <c r="D238" s="112"/>
      <c r="E238" s="112"/>
      <c r="F238" s="9" t="s">
        <v>515</v>
      </c>
    </row>
    <row r="239" spans="2:6" x14ac:dyDescent="0.3">
      <c r="B239" s="9">
        <v>237</v>
      </c>
      <c r="C239" s="112"/>
      <c r="D239" s="112"/>
      <c r="E239" s="112"/>
      <c r="F239" s="9" t="s">
        <v>516</v>
      </c>
    </row>
    <row r="240" spans="2:6" x14ac:dyDescent="0.3">
      <c r="B240" s="9">
        <v>238</v>
      </c>
      <c r="C240" s="112"/>
      <c r="D240" s="112"/>
      <c r="E240" s="112"/>
      <c r="F240" s="9" t="s">
        <v>517</v>
      </c>
    </row>
    <row r="241" spans="2:7" x14ac:dyDescent="0.3">
      <c r="B241" s="9">
        <v>239</v>
      </c>
      <c r="C241" s="112"/>
      <c r="D241" s="112"/>
      <c r="E241" s="112"/>
      <c r="F241" s="9" t="s">
        <v>518</v>
      </c>
    </row>
    <row r="242" spans="2:7" x14ac:dyDescent="0.3">
      <c r="B242" s="9">
        <v>240</v>
      </c>
      <c r="C242" s="112"/>
      <c r="D242" s="112"/>
      <c r="E242" s="112"/>
      <c r="F242" s="9" t="s">
        <v>519</v>
      </c>
    </row>
    <row r="243" spans="2:7" x14ac:dyDescent="0.3">
      <c r="B243" s="9">
        <v>241</v>
      </c>
      <c r="C243" s="112"/>
      <c r="D243" s="112"/>
      <c r="E243" s="112"/>
      <c r="F243" s="9" t="s">
        <v>524</v>
      </c>
      <c r="G243" s="1" t="s">
        <v>230</v>
      </c>
    </row>
    <row r="244" spans="2:7" x14ac:dyDescent="0.3">
      <c r="B244" s="9">
        <v>242</v>
      </c>
      <c r="C244" s="112"/>
      <c r="D244" s="112"/>
      <c r="E244" s="112"/>
      <c r="F244" s="9" t="s">
        <v>525</v>
      </c>
    </row>
    <row r="245" spans="2:7" x14ac:dyDescent="0.3">
      <c r="B245" s="9">
        <v>243</v>
      </c>
      <c r="C245" s="112"/>
      <c r="D245" s="112"/>
      <c r="E245" s="112"/>
      <c r="F245" s="9" t="s">
        <v>526</v>
      </c>
    </row>
    <row r="246" spans="2:7" x14ac:dyDescent="0.3">
      <c r="B246" s="9">
        <v>244</v>
      </c>
      <c r="C246" s="112"/>
      <c r="D246" s="112"/>
      <c r="E246" s="112"/>
      <c r="F246" s="9" t="s">
        <v>527</v>
      </c>
    </row>
    <row r="247" spans="2:7" x14ac:dyDescent="0.3">
      <c r="B247" s="9">
        <v>245</v>
      </c>
      <c r="C247" s="112"/>
      <c r="D247" s="112"/>
      <c r="E247" s="112"/>
      <c r="F247" s="9" t="s">
        <v>528</v>
      </c>
    </row>
    <row r="248" spans="2:7" x14ac:dyDescent="0.3">
      <c r="B248" s="9">
        <v>246</v>
      </c>
      <c r="C248" s="112"/>
      <c r="D248" s="112"/>
      <c r="E248" s="112"/>
      <c r="F248" s="9" t="s">
        <v>529</v>
      </c>
    </row>
    <row r="249" spans="2:7" x14ac:dyDescent="0.3">
      <c r="B249" s="9">
        <v>247</v>
      </c>
      <c r="C249" s="112"/>
      <c r="D249" s="112"/>
      <c r="E249" s="112"/>
      <c r="F249" s="9" t="s">
        <v>530</v>
      </c>
    </row>
    <row r="250" spans="2:7" x14ac:dyDescent="0.3">
      <c r="B250" s="9">
        <v>248</v>
      </c>
      <c r="C250" s="112"/>
      <c r="D250" s="112"/>
      <c r="E250" s="112"/>
      <c r="F250" s="9" t="s">
        <v>530</v>
      </c>
    </row>
    <row r="251" spans="2:7" x14ac:dyDescent="0.3">
      <c r="B251" s="9">
        <v>249</v>
      </c>
      <c r="C251" s="112"/>
      <c r="D251" s="112"/>
      <c r="E251" s="112"/>
      <c r="F251" s="9" t="s">
        <v>531</v>
      </c>
    </row>
    <row r="252" spans="2:7" x14ac:dyDescent="0.3">
      <c r="B252" s="9">
        <v>250</v>
      </c>
      <c r="C252" s="112"/>
      <c r="D252" s="112"/>
      <c r="E252" s="112"/>
      <c r="F252" s="9" t="s">
        <v>532</v>
      </c>
    </row>
    <row r="253" spans="2:7" x14ac:dyDescent="0.3">
      <c r="B253" s="9">
        <v>251</v>
      </c>
      <c r="C253" s="112"/>
      <c r="D253" s="112"/>
      <c r="E253" s="112"/>
      <c r="F253" s="9" t="s">
        <v>533</v>
      </c>
    </row>
    <row r="254" spans="2:7" x14ac:dyDescent="0.3">
      <c r="B254" s="9">
        <v>252</v>
      </c>
      <c r="C254" s="112"/>
      <c r="D254" s="112"/>
      <c r="E254" s="27">
        <v>15</v>
      </c>
      <c r="F254" s="9" t="s">
        <v>534</v>
      </c>
    </row>
    <row r="255" spans="2:7" x14ac:dyDescent="0.3">
      <c r="B255" s="9">
        <v>253</v>
      </c>
      <c r="C255" s="112"/>
      <c r="D255" s="112"/>
      <c r="E255" s="112">
        <v>20</v>
      </c>
      <c r="F255" s="9" t="s">
        <v>193</v>
      </c>
    </row>
    <row r="256" spans="2:7" x14ac:dyDescent="0.3">
      <c r="B256" s="9">
        <v>254</v>
      </c>
      <c r="C256" s="112"/>
      <c r="D256" s="112"/>
      <c r="E256" s="112"/>
      <c r="F256" s="9" t="s">
        <v>194</v>
      </c>
    </row>
    <row r="257" spans="2:6" x14ac:dyDescent="0.3">
      <c r="B257" s="9">
        <v>255</v>
      </c>
      <c r="C257" s="112"/>
      <c r="D257" s="112"/>
      <c r="E257" s="112"/>
      <c r="F257" s="9" t="s">
        <v>195</v>
      </c>
    </row>
    <row r="258" spans="2:6" x14ac:dyDescent="0.3">
      <c r="B258" s="9">
        <v>256</v>
      </c>
      <c r="C258" s="112"/>
      <c r="D258" s="112"/>
      <c r="E258" s="112">
        <v>30</v>
      </c>
      <c r="F258" s="9" t="s">
        <v>196</v>
      </c>
    </row>
    <row r="259" spans="2:6" x14ac:dyDescent="0.3">
      <c r="B259" s="9">
        <v>257</v>
      </c>
      <c r="C259" s="112"/>
      <c r="D259" s="112"/>
      <c r="E259" s="112"/>
      <c r="F259" s="9" t="s">
        <v>197</v>
      </c>
    </row>
    <row r="260" spans="2:6" x14ac:dyDescent="0.3">
      <c r="B260" s="9">
        <v>258</v>
      </c>
      <c r="C260" s="112"/>
      <c r="D260" s="112"/>
      <c r="E260" s="112"/>
      <c r="F260" s="9" t="s">
        <v>198</v>
      </c>
    </row>
    <row r="261" spans="2:6" x14ac:dyDescent="0.3">
      <c r="B261" s="9">
        <v>259</v>
      </c>
      <c r="C261" s="112"/>
      <c r="D261" s="112"/>
      <c r="E261" s="112"/>
      <c r="F261" s="9" t="s">
        <v>199</v>
      </c>
    </row>
    <row r="262" spans="2:6" x14ac:dyDescent="0.3">
      <c r="B262" s="9">
        <v>260</v>
      </c>
      <c r="C262" s="112"/>
      <c r="D262" s="112"/>
      <c r="E262" s="112"/>
      <c r="F262" s="9" t="s">
        <v>200</v>
      </c>
    </row>
    <row r="263" spans="2:6" x14ac:dyDescent="0.3">
      <c r="B263" s="9">
        <v>261</v>
      </c>
      <c r="C263" s="112"/>
      <c r="D263" s="112"/>
      <c r="E263" s="112"/>
      <c r="F263" s="9" t="s">
        <v>201</v>
      </c>
    </row>
    <row r="264" spans="2:6" x14ac:dyDescent="0.3">
      <c r="B264" s="9">
        <v>262</v>
      </c>
      <c r="C264" s="112"/>
      <c r="D264" s="112"/>
      <c r="E264" s="112"/>
      <c r="F264" s="9" t="s">
        <v>202</v>
      </c>
    </row>
    <row r="265" spans="2:6" x14ac:dyDescent="0.3">
      <c r="B265" s="9">
        <v>263</v>
      </c>
      <c r="C265" s="112"/>
      <c r="D265" s="112"/>
      <c r="E265" s="112">
        <v>31</v>
      </c>
      <c r="F265" s="9" t="s">
        <v>203</v>
      </c>
    </row>
    <row r="266" spans="2:6" x14ac:dyDescent="0.3">
      <c r="B266" s="9">
        <v>264</v>
      </c>
      <c r="C266" s="112"/>
      <c r="D266" s="112"/>
      <c r="E266" s="112"/>
      <c r="F266" s="9" t="s">
        <v>204</v>
      </c>
    </row>
    <row r="267" spans="2:6" x14ac:dyDescent="0.3">
      <c r="B267" s="9">
        <v>265</v>
      </c>
      <c r="C267" s="112"/>
      <c r="D267" s="112"/>
      <c r="E267" s="112">
        <v>32</v>
      </c>
      <c r="F267" s="9" t="s">
        <v>205</v>
      </c>
    </row>
    <row r="268" spans="2:6" x14ac:dyDescent="0.3">
      <c r="B268" s="9">
        <v>266</v>
      </c>
      <c r="C268" s="112"/>
      <c r="D268" s="112"/>
      <c r="E268" s="112"/>
      <c r="F268" s="9" t="s">
        <v>206</v>
      </c>
    </row>
    <row r="269" spans="2:6" x14ac:dyDescent="0.3">
      <c r="B269" s="9">
        <v>267</v>
      </c>
      <c r="C269" s="112"/>
      <c r="D269" s="112"/>
      <c r="E269" s="112"/>
      <c r="F269" s="9" t="s">
        <v>207</v>
      </c>
    </row>
    <row r="270" spans="2:6" x14ac:dyDescent="0.3">
      <c r="B270" s="9">
        <v>268</v>
      </c>
      <c r="C270" s="112"/>
      <c r="D270" s="112"/>
      <c r="E270" s="27">
        <v>33</v>
      </c>
      <c r="F270" s="9" t="s">
        <v>208</v>
      </c>
    </row>
    <row r="271" spans="2:6" x14ac:dyDescent="0.3">
      <c r="B271" s="9">
        <v>269</v>
      </c>
      <c r="C271" s="112"/>
      <c r="D271" s="112"/>
      <c r="E271" s="112">
        <v>34</v>
      </c>
      <c r="F271" s="9" t="s">
        <v>209</v>
      </c>
    </row>
    <row r="272" spans="2:6" x14ac:dyDescent="0.3">
      <c r="B272" s="9">
        <v>270</v>
      </c>
      <c r="C272" s="112"/>
      <c r="D272" s="112"/>
      <c r="E272" s="112"/>
      <c r="F272" s="9" t="s">
        <v>210</v>
      </c>
    </row>
    <row r="273" spans="2:11" x14ac:dyDescent="0.3">
      <c r="B273" s="9">
        <v>271</v>
      </c>
      <c r="C273" s="112"/>
      <c r="D273" s="112"/>
      <c r="E273" s="112"/>
      <c r="F273" s="9" t="s">
        <v>211</v>
      </c>
    </row>
    <row r="274" spans="2:11" x14ac:dyDescent="0.3">
      <c r="B274" s="9">
        <v>272</v>
      </c>
      <c r="C274" s="112"/>
      <c r="D274" s="112"/>
      <c r="E274" s="112">
        <v>40</v>
      </c>
      <c r="F274" s="9" t="s">
        <v>212</v>
      </c>
    </row>
    <row r="275" spans="2:11" x14ac:dyDescent="0.3">
      <c r="B275" s="9">
        <v>273</v>
      </c>
      <c r="C275" s="112"/>
      <c r="D275" s="112"/>
      <c r="E275" s="112"/>
      <c r="F275" s="9" t="s">
        <v>213</v>
      </c>
    </row>
    <row r="276" spans="2:11" x14ac:dyDescent="0.3">
      <c r="B276" s="9">
        <v>274</v>
      </c>
      <c r="C276" s="112"/>
      <c r="D276" s="112"/>
      <c r="E276" s="112">
        <v>50</v>
      </c>
      <c r="F276" s="9" t="s">
        <v>214</v>
      </c>
    </row>
    <row r="277" spans="2:11" x14ac:dyDescent="0.3">
      <c r="B277" s="9">
        <v>275</v>
      </c>
      <c r="C277" s="112"/>
      <c r="D277" s="112"/>
      <c r="E277" s="112"/>
      <c r="F277" s="9" t="s">
        <v>215</v>
      </c>
    </row>
    <row r="278" spans="2:11" x14ac:dyDescent="0.3">
      <c r="B278" s="9">
        <v>276</v>
      </c>
      <c r="C278" s="112"/>
      <c r="D278" s="112"/>
      <c r="E278" s="112"/>
      <c r="F278" s="9" t="s">
        <v>216</v>
      </c>
    </row>
    <row r="279" spans="2:11" x14ac:dyDescent="0.3">
      <c r="B279" s="9">
        <v>277</v>
      </c>
      <c r="C279" s="112"/>
      <c r="D279" s="112"/>
      <c r="E279" s="112"/>
      <c r="F279" s="9" t="s">
        <v>217</v>
      </c>
    </row>
    <row r="280" spans="2:11" x14ac:dyDescent="0.3">
      <c r="B280" s="9">
        <v>278</v>
      </c>
      <c r="C280" s="112"/>
      <c r="D280" s="112"/>
      <c r="E280" s="27" t="s">
        <v>226</v>
      </c>
      <c r="F280" s="9" t="s">
        <v>218</v>
      </c>
    </row>
    <row r="281" spans="2:11" x14ac:dyDescent="0.3">
      <c r="B281" s="9">
        <v>279</v>
      </c>
      <c r="C281" s="112"/>
      <c r="D281" s="112"/>
      <c r="E281" s="27" t="s">
        <v>227</v>
      </c>
      <c r="F281" s="9" t="s">
        <v>535</v>
      </c>
    </row>
    <row r="282" spans="2:11" x14ac:dyDescent="0.3">
      <c r="B282" s="9">
        <v>280</v>
      </c>
      <c r="C282" s="112"/>
      <c r="D282" s="112"/>
      <c r="E282" s="27" t="s">
        <v>394</v>
      </c>
      <c r="F282" s="9" t="s">
        <v>536</v>
      </c>
    </row>
    <row r="283" spans="2:11" x14ac:dyDescent="0.3">
      <c r="B283" s="9">
        <v>281</v>
      </c>
      <c r="C283" s="25" t="s">
        <v>11</v>
      </c>
      <c r="D283" s="25" t="s">
        <v>223</v>
      </c>
      <c r="E283" s="25">
        <v>0</v>
      </c>
      <c r="F283" s="9" t="s">
        <v>12</v>
      </c>
      <c r="G283" s="1" t="s">
        <v>230</v>
      </c>
      <c r="H283" s="21" t="s">
        <v>440</v>
      </c>
      <c r="I283" t="s">
        <v>380</v>
      </c>
    </row>
    <row r="284" spans="2:11" x14ac:dyDescent="0.3">
      <c r="B284" s="9">
        <v>282</v>
      </c>
      <c r="C284" s="113" t="s">
        <v>228</v>
      </c>
      <c r="D284" s="113" t="s">
        <v>222</v>
      </c>
      <c r="E284" s="28">
        <v>1</v>
      </c>
      <c r="F284" s="9" t="s">
        <v>537</v>
      </c>
      <c r="G284" s="1" t="s">
        <v>230</v>
      </c>
      <c r="H284" s="21" t="s">
        <v>440</v>
      </c>
      <c r="I284" t="s">
        <v>660</v>
      </c>
    </row>
    <row r="285" spans="2:11" x14ac:dyDescent="0.3">
      <c r="B285" s="9">
        <v>283</v>
      </c>
      <c r="C285" s="113"/>
      <c r="D285" s="113"/>
      <c r="E285" s="113">
        <v>2</v>
      </c>
      <c r="F285" s="9" t="s">
        <v>0</v>
      </c>
      <c r="G285" s="1" t="s">
        <v>230</v>
      </c>
      <c r="H285" s="21" t="s">
        <v>440</v>
      </c>
      <c r="I285" t="s">
        <v>661</v>
      </c>
    </row>
    <row r="286" spans="2:11" x14ac:dyDescent="0.3">
      <c r="B286" s="9">
        <v>284</v>
      </c>
      <c r="C286" s="113"/>
      <c r="D286" s="113"/>
      <c r="E286" s="113"/>
      <c r="F286" s="9" t="s">
        <v>1</v>
      </c>
      <c r="G286" s="1" t="s">
        <v>230</v>
      </c>
    </row>
    <row r="287" spans="2:11" x14ac:dyDescent="0.3">
      <c r="B287" s="9">
        <v>285</v>
      </c>
      <c r="C287" s="113"/>
      <c r="D287" s="113"/>
      <c r="E287" s="113"/>
      <c r="F287" s="9" t="s">
        <v>2</v>
      </c>
      <c r="G287" s="1" t="s">
        <v>230</v>
      </c>
    </row>
    <row r="288" spans="2:11" x14ac:dyDescent="0.3">
      <c r="B288" s="9">
        <v>286</v>
      </c>
      <c r="C288" s="113"/>
      <c r="D288" s="113"/>
      <c r="E288" s="113"/>
      <c r="F288" s="9" t="s">
        <v>3</v>
      </c>
      <c r="G288" s="1" t="s">
        <v>230</v>
      </c>
      <c r="K288" t="s">
        <v>377</v>
      </c>
    </row>
    <row r="289" spans="2:10" x14ac:dyDescent="0.3">
      <c r="B289" s="9">
        <v>287</v>
      </c>
      <c r="C289" s="113"/>
      <c r="D289" s="113"/>
      <c r="E289" s="113">
        <v>3</v>
      </c>
      <c r="F289" s="9" t="s">
        <v>4</v>
      </c>
      <c r="G289" s="1" t="s">
        <v>230</v>
      </c>
    </row>
    <row r="290" spans="2:10" x14ac:dyDescent="0.3">
      <c r="B290" s="9">
        <v>288</v>
      </c>
      <c r="C290" s="113"/>
      <c r="D290" s="113"/>
      <c r="E290" s="113"/>
      <c r="F290" s="9" t="s">
        <v>5</v>
      </c>
      <c r="G290" s="1" t="s">
        <v>230</v>
      </c>
    </row>
    <row r="291" spans="2:10" x14ac:dyDescent="0.3">
      <c r="B291" s="9">
        <v>289</v>
      </c>
      <c r="C291" s="113"/>
      <c r="D291" s="113"/>
      <c r="E291" s="113">
        <v>4</v>
      </c>
      <c r="F291" s="9" t="s">
        <v>6</v>
      </c>
    </row>
    <row r="292" spans="2:10" x14ac:dyDescent="0.3">
      <c r="B292" s="9">
        <v>290</v>
      </c>
      <c r="C292" s="113"/>
      <c r="D292" s="113"/>
      <c r="E292" s="113"/>
      <c r="F292" s="9" t="s">
        <v>7</v>
      </c>
      <c r="H292" s="1"/>
    </row>
    <row r="293" spans="2:10" x14ac:dyDescent="0.3">
      <c r="B293" s="9">
        <v>291</v>
      </c>
      <c r="C293" s="113"/>
      <c r="D293" s="113"/>
      <c r="E293" s="113">
        <v>5</v>
      </c>
      <c r="F293" s="9" t="s">
        <v>538</v>
      </c>
      <c r="G293" s="1" t="s">
        <v>230</v>
      </c>
      <c r="H293" s="1"/>
    </row>
    <row r="294" spans="2:10" x14ac:dyDescent="0.3">
      <c r="B294" s="9">
        <v>292</v>
      </c>
      <c r="C294" s="113"/>
      <c r="D294" s="113"/>
      <c r="E294" s="113"/>
      <c r="F294" s="9" t="s">
        <v>8</v>
      </c>
      <c r="G294" s="1" t="s">
        <v>230</v>
      </c>
    </row>
    <row r="295" spans="2:10" x14ac:dyDescent="0.3">
      <c r="B295" s="9">
        <v>293</v>
      </c>
      <c r="C295" s="113"/>
      <c r="D295" s="113"/>
      <c r="E295" s="113"/>
      <c r="F295" s="9" t="s">
        <v>539</v>
      </c>
      <c r="G295" s="1" t="s">
        <v>230</v>
      </c>
      <c r="J295" t="s">
        <v>377</v>
      </c>
    </row>
    <row r="296" spans="2:10" x14ac:dyDescent="0.3">
      <c r="B296" s="9">
        <v>294</v>
      </c>
      <c r="C296" s="113"/>
      <c r="D296" s="113"/>
      <c r="E296" s="113">
        <v>10</v>
      </c>
      <c r="F296" s="9" t="s">
        <v>9</v>
      </c>
      <c r="G296" s="1" t="s">
        <v>230</v>
      </c>
      <c r="H296" s="21" t="s">
        <v>440</v>
      </c>
      <c r="I296" t="s">
        <v>378</v>
      </c>
    </row>
    <row r="297" spans="2:10" x14ac:dyDescent="0.3">
      <c r="B297" s="9">
        <v>295</v>
      </c>
      <c r="C297" s="113"/>
      <c r="D297" s="113"/>
      <c r="E297" s="113"/>
      <c r="F297" s="9" t="s">
        <v>10</v>
      </c>
      <c r="G297" s="1" t="s">
        <v>230</v>
      </c>
      <c r="H297" s="21" t="s">
        <v>440</v>
      </c>
      <c r="I297" t="s">
        <v>378</v>
      </c>
    </row>
    <row r="298" spans="2:10" x14ac:dyDescent="0.3">
      <c r="B298" s="43">
        <v>400</v>
      </c>
      <c r="C298" s="44"/>
      <c r="D298" s="44"/>
      <c r="E298" s="44"/>
      <c r="F298" s="43" t="s">
        <v>683</v>
      </c>
      <c r="G298" s="1" t="s">
        <v>230</v>
      </c>
      <c r="H298" s="21" t="s">
        <v>440</v>
      </c>
      <c r="I298" t="s">
        <v>684</v>
      </c>
    </row>
    <row r="299" spans="2:10" x14ac:dyDescent="0.3">
      <c r="B299" s="43">
        <v>401</v>
      </c>
      <c r="C299" s="44"/>
      <c r="D299" s="44"/>
      <c r="E299" s="44"/>
      <c r="F299" s="47" t="s">
        <v>842</v>
      </c>
    </row>
    <row r="302" spans="2:10" x14ac:dyDescent="0.3">
      <c r="B302" s="9">
        <v>500</v>
      </c>
      <c r="C302" s="63"/>
      <c r="D302" s="63"/>
      <c r="E302" s="63"/>
      <c r="F302" s="9" t="s">
        <v>811</v>
      </c>
    </row>
  </sheetData>
  <mergeCells count="43">
    <mergeCell ref="C284:C297"/>
    <mergeCell ref="C138:C282"/>
    <mergeCell ref="C3:C137"/>
    <mergeCell ref="E293:E295"/>
    <mergeCell ref="E296:E297"/>
    <mergeCell ref="D3:D137"/>
    <mergeCell ref="D138:D282"/>
    <mergeCell ref="D284:D297"/>
    <mergeCell ref="E274:E275"/>
    <mergeCell ref="E276:E279"/>
    <mergeCell ref="E285:E288"/>
    <mergeCell ref="E289:E290"/>
    <mergeCell ref="E291:E292"/>
    <mergeCell ref="E255:E257"/>
    <mergeCell ref="E258:E264"/>
    <mergeCell ref="E265:E266"/>
    <mergeCell ref="E267:E269"/>
    <mergeCell ref="E271:E273"/>
    <mergeCell ref="E193:E197"/>
    <mergeCell ref="E199:E200"/>
    <mergeCell ref="E201:E206"/>
    <mergeCell ref="E207:E215"/>
    <mergeCell ref="E216:E253"/>
    <mergeCell ref="E139:E161"/>
    <mergeCell ref="E162:E164"/>
    <mergeCell ref="E165:E168"/>
    <mergeCell ref="E169:E186"/>
    <mergeCell ref="E187:E192"/>
    <mergeCell ref="E108:E117"/>
    <mergeCell ref="E118:E126"/>
    <mergeCell ref="E127:E132"/>
    <mergeCell ref="E134:E135"/>
    <mergeCell ref="E136:E137"/>
    <mergeCell ref="E44:E53"/>
    <mergeCell ref="E54:E86"/>
    <mergeCell ref="E87:E91"/>
    <mergeCell ref="E92:E98"/>
    <mergeCell ref="E99:E107"/>
    <mergeCell ref="E3:E27"/>
    <mergeCell ref="E28:E31"/>
    <mergeCell ref="E33:E37"/>
    <mergeCell ref="E38:E40"/>
    <mergeCell ref="E41:E43"/>
  </mergeCells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376A-EE7B-4668-8D9B-BE538ECE021D}">
  <dimension ref="B3:M99"/>
  <sheetViews>
    <sheetView topLeftCell="A58" workbookViewId="0">
      <selection activeCell="K75" sqref="K75"/>
    </sheetView>
  </sheetViews>
  <sheetFormatPr baseColWidth="10" defaultRowHeight="14.4" x14ac:dyDescent="0.3"/>
  <cols>
    <col min="2" max="2" width="31.33203125" bestFit="1" customWidth="1"/>
    <col min="4" max="4" width="22.5546875" bestFit="1" customWidth="1"/>
    <col min="5" max="6" width="11.44140625" style="1"/>
    <col min="7" max="7" width="11.44140625" style="21"/>
    <col min="8" max="8" width="8.5546875" customWidth="1"/>
  </cols>
  <sheetData>
    <row r="3" spans="2:7" x14ac:dyDescent="0.3">
      <c r="E3" s="1" t="s">
        <v>541</v>
      </c>
      <c r="F3" s="1" t="s">
        <v>624</v>
      </c>
      <c r="G3" s="21" t="s">
        <v>555</v>
      </c>
    </row>
    <row r="4" spans="2:7" x14ac:dyDescent="0.3">
      <c r="B4" t="s">
        <v>320</v>
      </c>
      <c r="C4" t="s">
        <v>234</v>
      </c>
      <c r="D4" t="s">
        <v>236</v>
      </c>
      <c r="E4" s="1">
        <v>8</v>
      </c>
      <c r="G4" s="21">
        <v>0</v>
      </c>
    </row>
    <row r="5" spans="2:7" x14ac:dyDescent="0.3">
      <c r="B5" s="114" t="s">
        <v>546</v>
      </c>
      <c r="C5" t="s">
        <v>542</v>
      </c>
      <c r="D5" t="s">
        <v>241</v>
      </c>
      <c r="E5" s="114">
        <v>16</v>
      </c>
      <c r="F5" s="21"/>
      <c r="G5" s="114">
        <v>1</v>
      </c>
    </row>
    <row r="6" spans="2:7" x14ac:dyDescent="0.3">
      <c r="B6" s="114"/>
      <c r="C6" t="s">
        <v>543</v>
      </c>
      <c r="D6" t="s">
        <v>237</v>
      </c>
      <c r="E6" s="114"/>
      <c r="F6" s="21"/>
      <c r="G6" s="114"/>
    </row>
    <row r="7" spans="2:7" x14ac:dyDescent="0.3">
      <c r="B7" s="114"/>
      <c r="C7" t="s">
        <v>544</v>
      </c>
      <c r="D7" t="s">
        <v>238</v>
      </c>
      <c r="E7" s="114"/>
      <c r="F7" s="21"/>
      <c r="G7" s="114"/>
    </row>
    <row r="8" spans="2:7" x14ac:dyDescent="0.3">
      <c r="B8" s="114"/>
      <c r="C8" t="s">
        <v>545</v>
      </c>
      <c r="D8" t="s">
        <v>239</v>
      </c>
      <c r="E8" s="114"/>
      <c r="F8" s="21"/>
      <c r="G8" s="114"/>
    </row>
    <row r="9" spans="2:7" x14ac:dyDescent="0.3">
      <c r="B9" t="s">
        <v>323</v>
      </c>
      <c r="C9" t="s">
        <v>235</v>
      </c>
      <c r="D9" t="s">
        <v>240</v>
      </c>
      <c r="E9" s="1">
        <v>8</v>
      </c>
      <c r="G9" s="21">
        <v>3</v>
      </c>
    </row>
    <row r="10" spans="2:7" x14ac:dyDescent="0.3">
      <c r="B10" s="114" t="s">
        <v>322</v>
      </c>
      <c r="C10" t="s">
        <v>268</v>
      </c>
      <c r="D10" t="s">
        <v>243</v>
      </c>
      <c r="E10" s="114">
        <v>16</v>
      </c>
      <c r="F10" s="21"/>
      <c r="G10" s="114">
        <v>4</v>
      </c>
    </row>
    <row r="11" spans="2:7" x14ac:dyDescent="0.3">
      <c r="B11" s="114"/>
      <c r="C11" t="s">
        <v>269</v>
      </c>
      <c r="D11" t="s">
        <v>244</v>
      </c>
      <c r="E11" s="114"/>
      <c r="F11" s="21"/>
      <c r="G11" s="114"/>
    </row>
    <row r="12" spans="2:7" x14ac:dyDescent="0.3">
      <c r="B12" s="114"/>
      <c r="C12" t="s">
        <v>270</v>
      </c>
      <c r="D12" t="s">
        <v>245</v>
      </c>
      <c r="E12" s="114"/>
      <c r="F12" s="21"/>
      <c r="G12" s="114"/>
    </row>
    <row r="13" spans="2:7" x14ac:dyDescent="0.3">
      <c r="B13" s="114"/>
      <c r="C13" t="s">
        <v>271</v>
      </c>
      <c r="D13" t="s">
        <v>246</v>
      </c>
      <c r="E13" s="114"/>
      <c r="F13" s="21"/>
      <c r="G13" s="114"/>
    </row>
    <row r="14" spans="2:7" x14ac:dyDescent="0.3">
      <c r="B14" s="114"/>
      <c r="C14" t="s">
        <v>272</v>
      </c>
      <c r="D14" t="s">
        <v>242</v>
      </c>
      <c r="E14" s="114"/>
      <c r="F14" s="21"/>
      <c r="G14" s="114"/>
    </row>
    <row r="15" spans="2:7" x14ac:dyDescent="0.3">
      <c r="B15" s="114"/>
      <c r="C15" t="s">
        <v>273</v>
      </c>
      <c r="D15" t="s">
        <v>247</v>
      </c>
      <c r="E15" s="114"/>
      <c r="F15" s="21"/>
      <c r="G15" s="114"/>
    </row>
    <row r="16" spans="2:7" x14ac:dyDescent="0.3">
      <c r="B16" s="114"/>
      <c r="C16" t="s">
        <v>274</v>
      </c>
      <c r="D16" t="s">
        <v>260</v>
      </c>
      <c r="E16" s="114"/>
      <c r="F16" s="21"/>
      <c r="G16" s="114"/>
    </row>
    <row r="17" spans="2:7" x14ac:dyDescent="0.3">
      <c r="B17" s="114"/>
      <c r="C17" t="s">
        <v>275</v>
      </c>
      <c r="D17" t="s">
        <v>261</v>
      </c>
      <c r="E17" s="114"/>
      <c r="F17" s="21"/>
      <c r="G17" s="114"/>
    </row>
    <row r="18" spans="2:7" x14ac:dyDescent="0.3">
      <c r="B18" s="114"/>
      <c r="C18" t="s">
        <v>276</v>
      </c>
      <c r="D18" t="s">
        <v>262</v>
      </c>
      <c r="E18" s="114"/>
      <c r="F18" s="21"/>
      <c r="G18" s="114"/>
    </row>
    <row r="19" spans="2:7" x14ac:dyDescent="0.3">
      <c r="B19" s="114"/>
      <c r="C19" t="s">
        <v>277</v>
      </c>
      <c r="D19" t="s">
        <v>263</v>
      </c>
      <c r="E19" s="114"/>
      <c r="F19" s="21"/>
      <c r="G19" s="114"/>
    </row>
    <row r="20" spans="2:7" x14ac:dyDescent="0.3">
      <c r="B20" s="114"/>
      <c r="C20" t="s">
        <v>278</v>
      </c>
      <c r="D20" t="s">
        <v>264</v>
      </c>
      <c r="E20" s="114"/>
      <c r="F20" s="21"/>
      <c r="G20" s="114"/>
    </row>
    <row r="21" spans="2:7" x14ac:dyDescent="0.3">
      <c r="B21" s="114"/>
      <c r="C21" t="s">
        <v>279</v>
      </c>
      <c r="D21" t="s">
        <v>265</v>
      </c>
      <c r="E21" s="114"/>
      <c r="F21" s="21"/>
      <c r="G21" s="114"/>
    </row>
    <row r="22" spans="2:7" x14ac:dyDescent="0.3">
      <c r="B22" s="114"/>
      <c r="C22" t="s">
        <v>280</v>
      </c>
      <c r="D22" t="s">
        <v>266</v>
      </c>
      <c r="E22" s="114"/>
      <c r="F22" s="21"/>
      <c r="G22" s="114"/>
    </row>
    <row r="23" spans="2:7" x14ac:dyDescent="0.3">
      <c r="B23" s="114"/>
      <c r="C23" t="s">
        <v>281</v>
      </c>
      <c r="D23" t="s">
        <v>267</v>
      </c>
      <c r="E23" s="114"/>
      <c r="F23" s="21"/>
      <c r="G23" s="114"/>
    </row>
    <row r="24" spans="2:7" x14ac:dyDescent="0.3">
      <c r="B24" s="114"/>
      <c r="C24" s="70" t="s">
        <v>847</v>
      </c>
      <c r="D24" s="70" t="s">
        <v>848</v>
      </c>
      <c r="E24" s="114"/>
      <c r="F24" s="21"/>
      <c r="G24" s="114"/>
    </row>
    <row r="25" spans="2:7" x14ac:dyDescent="0.3">
      <c r="B25" s="114" t="s">
        <v>321</v>
      </c>
      <c r="C25" t="s">
        <v>282</v>
      </c>
      <c r="D25" t="s">
        <v>301</v>
      </c>
      <c r="E25" s="114"/>
      <c r="F25" s="21"/>
      <c r="G25" s="114"/>
    </row>
    <row r="26" spans="2:7" x14ac:dyDescent="0.3">
      <c r="B26" s="114"/>
      <c r="C26" t="s">
        <v>283</v>
      </c>
      <c r="D26" t="s">
        <v>302</v>
      </c>
      <c r="E26" s="114"/>
      <c r="F26" s="21"/>
      <c r="G26" s="114"/>
    </row>
    <row r="27" spans="2:7" x14ac:dyDescent="0.3">
      <c r="B27" s="114"/>
      <c r="C27" t="s">
        <v>284</v>
      </c>
      <c r="D27" t="s">
        <v>303</v>
      </c>
      <c r="E27" s="114"/>
      <c r="F27" s="21"/>
      <c r="G27" s="114"/>
    </row>
    <row r="28" spans="2:7" x14ac:dyDescent="0.3">
      <c r="B28" s="114"/>
      <c r="C28" t="s">
        <v>285</v>
      </c>
      <c r="D28" t="s">
        <v>304</v>
      </c>
      <c r="E28" s="114"/>
      <c r="F28" s="21"/>
      <c r="G28" s="114"/>
    </row>
    <row r="29" spans="2:7" x14ac:dyDescent="0.3">
      <c r="B29" s="114"/>
      <c r="C29" t="s">
        <v>286</v>
      </c>
      <c r="D29" t="s">
        <v>305</v>
      </c>
      <c r="E29" s="114"/>
      <c r="F29" s="21"/>
      <c r="G29" s="114"/>
    </row>
    <row r="30" spans="2:7" x14ac:dyDescent="0.3">
      <c r="B30" s="114"/>
      <c r="C30" t="s">
        <v>287</v>
      </c>
      <c r="D30" t="s">
        <v>306</v>
      </c>
      <c r="E30" s="114"/>
      <c r="F30" s="21"/>
      <c r="G30" s="114"/>
    </row>
    <row r="31" spans="2:7" x14ac:dyDescent="0.3">
      <c r="B31" s="114"/>
      <c r="C31" t="s">
        <v>288</v>
      </c>
      <c r="D31" t="s">
        <v>307</v>
      </c>
      <c r="E31" s="114"/>
      <c r="F31" s="21"/>
      <c r="G31" s="114"/>
    </row>
    <row r="32" spans="2:7" x14ac:dyDescent="0.3">
      <c r="B32" s="114"/>
      <c r="C32" t="s">
        <v>289</v>
      </c>
      <c r="D32" t="s">
        <v>308</v>
      </c>
      <c r="E32" s="114"/>
      <c r="F32" s="21"/>
      <c r="G32" s="114"/>
    </row>
    <row r="33" spans="2:7" x14ac:dyDescent="0.3">
      <c r="B33" s="114"/>
      <c r="C33" t="s">
        <v>290</v>
      </c>
      <c r="D33" t="s">
        <v>309</v>
      </c>
      <c r="E33" s="114"/>
      <c r="F33" s="21"/>
      <c r="G33" s="114"/>
    </row>
    <row r="34" spans="2:7" x14ac:dyDescent="0.3">
      <c r="B34" s="114"/>
      <c r="C34" s="30" t="s">
        <v>596</v>
      </c>
      <c r="D34" t="s">
        <v>597</v>
      </c>
      <c r="E34" s="114"/>
      <c r="F34" s="21"/>
      <c r="G34" s="114"/>
    </row>
    <row r="35" spans="2:7" x14ac:dyDescent="0.3">
      <c r="B35" s="114"/>
      <c r="C35" t="s">
        <v>291</v>
      </c>
      <c r="D35" t="s">
        <v>310</v>
      </c>
      <c r="E35" s="114"/>
      <c r="F35" s="21"/>
      <c r="G35" s="114"/>
    </row>
    <row r="36" spans="2:7" x14ac:dyDescent="0.3">
      <c r="B36" s="114"/>
      <c r="C36" t="s">
        <v>292</v>
      </c>
      <c r="D36" t="s">
        <v>311</v>
      </c>
      <c r="E36" s="114"/>
      <c r="F36" s="21"/>
      <c r="G36" s="114"/>
    </row>
    <row r="37" spans="2:7" x14ac:dyDescent="0.3">
      <c r="B37" s="114"/>
      <c r="C37" t="s">
        <v>293</v>
      </c>
      <c r="D37" t="s">
        <v>312</v>
      </c>
      <c r="E37" s="114"/>
      <c r="F37" s="21"/>
      <c r="G37" s="114"/>
    </row>
    <row r="38" spans="2:7" x14ac:dyDescent="0.3">
      <c r="B38" s="114"/>
      <c r="C38" t="s">
        <v>294</v>
      </c>
      <c r="D38" t="s">
        <v>313</v>
      </c>
      <c r="E38" s="114"/>
      <c r="F38" s="21"/>
      <c r="G38" s="114"/>
    </row>
    <row r="39" spans="2:7" x14ac:dyDescent="0.3">
      <c r="B39" s="114"/>
      <c r="C39" t="s">
        <v>295</v>
      </c>
      <c r="D39" t="s">
        <v>314</v>
      </c>
      <c r="E39" s="114"/>
      <c r="F39" s="21"/>
      <c r="G39" s="114"/>
    </row>
    <row r="40" spans="2:7" x14ac:dyDescent="0.3">
      <c r="B40" s="114"/>
      <c r="C40" t="s">
        <v>296</v>
      </c>
      <c r="D40" t="s">
        <v>315</v>
      </c>
      <c r="E40" s="114"/>
      <c r="F40" s="21"/>
      <c r="G40" s="114"/>
    </row>
    <row r="41" spans="2:7" x14ac:dyDescent="0.3">
      <c r="B41" s="114"/>
      <c r="C41" t="s">
        <v>297</v>
      </c>
      <c r="D41" t="s">
        <v>316</v>
      </c>
      <c r="E41" s="114"/>
      <c r="F41" s="21"/>
      <c r="G41" s="114"/>
    </row>
    <row r="42" spans="2:7" x14ac:dyDescent="0.3">
      <c r="B42" s="114"/>
      <c r="C42" t="s">
        <v>298</v>
      </c>
      <c r="D42" t="s">
        <v>317</v>
      </c>
      <c r="E42" s="114"/>
      <c r="F42" s="21"/>
      <c r="G42" s="114"/>
    </row>
    <row r="43" spans="2:7" x14ac:dyDescent="0.3">
      <c r="B43" s="114"/>
      <c r="C43" t="s">
        <v>299</v>
      </c>
      <c r="D43" t="s">
        <v>318</v>
      </c>
      <c r="E43" s="114"/>
      <c r="F43" s="21"/>
      <c r="G43" s="114"/>
    </row>
    <row r="44" spans="2:7" x14ac:dyDescent="0.3">
      <c r="B44" s="114"/>
      <c r="C44" t="s">
        <v>300</v>
      </c>
      <c r="D44" t="s">
        <v>319</v>
      </c>
      <c r="E44" s="114"/>
      <c r="F44" s="21"/>
      <c r="G44" s="114"/>
    </row>
    <row r="45" spans="2:7" x14ac:dyDescent="0.3">
      <c r="B45" t="s">
        <v>324</v>
      </c>
      <c r="C45" t="s">
        <v>248</v>
      </c>
      <c r="E45" s="1">
        <v>8</v>
      </c>
      <c r="G45" s="21">
        <v>6</v>
      </c>
    </row>
    <row r="46" spans="2:7" x14ac:dyDescent="0.3">
      <c r="B46" t="s">
        <v>329</v>
      </c>
      <c r="C46" t="s">
        <v>249</v>
      </c>
      <c r="E46" s="1">
        <v>8</v>
      </c>
      <c r="G46" s="21">
        <v>7</v>
      </c>
    </row>
    <row r="47" spans="2:7" x14ac:dyDescent="0.3">
      <c r="B47" t="s">
        <v>325</v>
      </c>
      <c r="C47" t="s">
        <v>250</v>
      </c>
      <c r="E47" s="1">
        <v>8</v>
      </c>
      <c r="G47" s="21">
        <v>8</v>
      </c>
    </row>
    <row r="48" spans="2:7" x14ac:dyDescent="0.3">
      <c r="B48" t="s">
        <v>326</v>
      </c>
      <c r="C48" t="s">
        <v>251</v>
      </c>
      <c r="E48" s="1">
        <v>8</v>
      </c>
      <c r="G48" s="21">
        <v>9</v>
      </c>
    </row>
    <row r="49" spans="2:11" x14ac:dyDescent="0.3">
      <c r="B49" t="s">
        <v>330</v>
      </c>
      <c r="C49" t="s">
        <v>252</v>
      </c>
      <c r="E49" s="1">
        <v>8</v>
      </c>
      <c r="G49" s="21">
        <v>10</v>
      </c>
    </row>
    <row r="50" spans="2:11" x14ac:dyDescent="0.3">
      <c r="B50" t="s">
        <v>331</v>
      </c>
      <c r="C50" t="s">
        <v>253</v>
      </c>
      <c r="E50" s="1">
        <v>8</v>
      </c>
      <c r="G50" s="21">
        <v>11</v>
      </c>
    </row>
    <row r="51" spans="2:11" x14ac:dyDescent="0.3">
      <c r="B51" t="s">
        <v>332</v>
      </c>
      <c r="C51" t="s">
        <v>254</v>
      </c>
      <c r="E51" s="1">
        <v>8</v>
      </c>
      <c r="G51" s="21">
        <v>12</v>
      </c>
      <c r="K51" t="s">
        <v>377</v>
      </c>
    </row>
    <row r="52" spans="2:11" x14ac:dyDescent="0.3">
      <c r="B52" t="s">
        <v>335</v>
      </c>
      <c r="C52" t="s">
        <v>255</v>
      </c>
      <c r="E52" s="1">
        <v>8</v>
      </c>
      <c r="G52" s="21">
        <v>13</v>
      </c>
    </row>
    <row r="53" spans="2:11" x14ac:dyDescent="0.3">
      <c r="B53" t="s">
        <v>333</v>
      </c>
      <c r="C53" t="s">
        <v>256</v>
      </c>
      <c r="E53" s="1">
        <v>8</v>
      </c>
      <c r="G53" s="21">
        <v>14</v>
      </c>
    </row>
    <row r="54" spans="2:11" x14ac:dyDescent="0.3">
      <c r="B54" t="s">
        <v>334</v>
      </c>
      <c r="C54" t="s">
        <v>257</v>
      </c>
      <c r="E54" s="1">
        <v>8</v>
      </c>
      <c r="G54" s="21">
        <v>15</v>
      </c>
    </row>
    <row r="55" spans="2:11" x14ac:dyDescent="0.3">
      <c r="B55" t="s">
        <v>327</v>
      </c>
      <c r="C55" t="s">
        <v>258</v>
      </c>
      <c r="E55" s="1">
        <v>0</v>
      </c>
    </row>
    <row r="56" spans="2:11" x14ac:dyDescent="0.3">
      <c r="B56" t="s">
        <v>328</v>
      </c>
      <c r="C56" t="s">
        <v>259</v>
      </c>
      <c r="E56" s="1">
        <v>8</v>
      </c>
      <c r="G56" s="21">
        <v>16</v>
      </c>
    </row>
    <row r="57" spans="2:11" x14ac:dyDescent="0.3">
      <c r="B57" t="s">
        <v>553</v>
      </c>
      <c r="C57" t="s">
        <v>556</v>
      </c>
      <c r="E57" s="114">
        <v>8</v>
      </c>
      <c r="F57" s="21"/>
      <c r="G57" s="114">
        <v>17</v>
      </c>
    </row>
    <row r="58" spans="2:11" x14ac:dyDescent="0.3">
      <c r="B58" t="s">
        <v>554</v>
      </c>
      <c r="C58" t="s">
        <v>557</v>
      </c>
      <c r="E58" s="114"/>
      <c r="F58" s="21"/>
      <c r="G58" s="114"/>
    </row>
    <row r="59" spans="2:11" x14ac:dyDescent="0.3">
      <c r="B59" t="s">
        <v>547</v>
      </c>
      <c r="C59" t="s">
        <v>558</v>
      </c>
      <c r="E59" s="114"/>
      <c r="F59" s="21"/>
      <c r="G59" s="114"/>
    </row>
    <row r="60" spans="2:11" x14ac:dyDescent="0.3">
      <c r="B60" t="s">
        <v>548</v>
      </c>
      <c r="C60" t="s">
        <v>559</v>
      </c>
      <c r="E60" s="114"/>
      <c r="F60" s="21"/>
      <c r="G60" s="114"/>
    </row>
    <row r="61" spans="2:11" x14ac:dyDescent="0.3">
      <c r="B61" t="s">
        <v>549</v>
      </c>
      <c r="C61" t="s">
        <v>560</v>
      </c>
      <c r="E61" s="114"/>
      <c r="F61" s="21"/>
      <c r="G61" s="114"/>
    </row>
    <row r="62" spans="2:11" x14ac:dyDescent="0.3">
      <c r="B62" t="s">
        <v>550</v>
      </c>
      <c r="C62" t="s">
        <v>561</v>
      </c>
      <c r="D62" t="s">
        <v>377</v>
      </c>
      <c r="E62" s="114"/>
      <c r="F62" s="21"/>
      <c r="G62" s="114"/>
    </row>
    <row r="63" spans="2:11" x14ac:dyDescent="0.3">
      <c r="B63" t="s">
        <v>551</v>
      </c>
      <c r="C63" t="s">
        <v>562</v>
      </c>
      <c r="E63" s="114"/>
      <c r="F63" s="21"/>
      <c r="G63" s="114"/>
    </row>
    <row r="64" spans="2:11" x14ac:dyDescent="0.3">
      <c r="B64" t="s">
        <v>552</v>
      </c>
      <c r="C64" t="s">
        <v>563</v>
      </c>
      <c r="E64" s="114"/>
      <c r="F64" s="21"/>
      <c r="G64" s="114"/>
    </row>
    <row r="65" spans="2:13" x14ac:dyDescent="0.3">
      <c r="B65" s="31" t="s">
        <v>598</v>
      </c>
      <c r="C65" s="31" t="s">
        <v>596</v>
      </c>
      <c r="D65" s="31"/>
      <c r="E65" s="32"/>
      <c r="F65" s="32"/>
      <c r="G65" s="33"/>
      <c r="H65" s="33"/>
    </row>
    <row r="66" spans="2:13" x14ac:dyDescent="0.3">
      <c r="B66" t="s">
        <v>619</v>
      </c>
      <c r="C66" t="s">
        <v>620</v>
      </c>
      <c r="E66" s="21">
        <v>2</v>
      </c>
      <c r="F66" s="37" t="s">
        <v>625</v>
      </c>
      <c r="G66" s="114">
        <v>21</v>
      </c>
      <c r="H66" s="115" t="s">
        <v>678</v>
      </c>
    </row>
    <row r="67" spans="2:13" x14ac:dyDescent="0.3">
      <c r="B67" t="s">
        <v>621</v>
      </c>
      <c r="C67" t="s">
        <v>679</v>
      </c>
      <c r="E67" s="1">
        <v>1</v>
      </c>
      <c r="F67" s="1">
        <v>2</v>
      </c>
      <c r="G67" s="114"/>
      <c r="H67" s="115"/>
    </row>
    <row r="68" spans="2:13" x14ac:dyDescent="0.3">
      <c r="B68" t="s">
        <v>622</v>
      </c>
      <c r="C68" t="s">
        <v>682</v>
      </c>
      <c r="E68" s="1">
        <v>1</v>
      </c>
      <c r="F68" s="1">
        <v>1</v>
      </c>
      <c r="G68" s="114"/>
      <c r="H68" s="115"/>
    </row>
    <row r="69" spans="2:13" x14ac:dyDescent="0.3">
      <c r="B69" t="s">
        <v>681</v>
      </c>
      <c r="C69" t="s">
        <v>623</v>
      </c>
      <c r="E69" s="1">
        <v>1</v>
      </c>
      <c r="F69" s="1">
        <v>1</v>
      </c>
      <c r="G69" s="114"/>
      <c r="H69" s="42"/>
    </row>
    <row r="70" spans="2:13" x14ac:dyDescent="0.3">
      <c r="B70" t="s">
        <v>838</v>
      </c>
      <c r="C70" t="s">
        <v>839</v>
      </c>
      <c r="E70" s="1">
        <v>8</v>
      </c>
      <c r="G70" s="114"/>
      <c r="H70" s="42"/>
    </row>
    <row r="71" spans="2:13" x14ac:dyDescent="0.3">
      <c r="B71" s="31" t="s">
        <v>849</v>
      </c>
      <c r="C71" s="31" t="s">
        <v>847</v>
      </c>
      <c r="D71" s="31"/>
      <c r="E71" s="32"/>
      <c r="F71" s="32"/>
      <c r="G71" s="33"/>
      <c r="H71" s="33"/>
    </row>
    <row r="72" spans="2:13" x14ac:dyDescent="0.3">
      <c r="B72" t="s">
        <v>863</v>
      </c>
      <c r="C72" t="s">
        <v>862</v>
      </c>
      <c r="E72" s="1">
        <v>1</v>
      </c>
      <c r="F72" s="1">
        <v>3</v>
      </c>
      <c r="G72" s="114">
        <v>21</v>
      </c>
      <c r="H72" s="42"/>
    </row>
    <row r="73" spans="2:13" x14ac:dyDescent="0.3">
      <c r="B73" t="s">
        <v>864</v>
      </c>
      <c r="C73" t="s">
        <v>866</v>
      </c>
      <c r="E73" s="1">
        <v>1</v>
      </c>
      <c r="F73" s="1">
        <v>0</v>
      </c>
      <c r="G73" s="114"/>
      <c r="H73" s="42"/>
    </row>
    <row r="74" spans="2:13" x14ac:dyDescent="0.3">
      <c r="B74" t="s">
        <v>865</v>
      </c>
      <c r="C74" t="s">
        <v>867</v>
      </c>
      <c r="E74" s="1">
        <v>2</v>
      </c>
      <c r="F74" s="1">
        <v>1</v>
      </c>
      <c r="G74" s="114"/>
      <c r="H74" s="42"/>
    </row>
    <row r="75" spans="2:13" ht="15" customHeight="1" x14ac:dyDescent="0.3">
      <c r="B75" t="s">
        <v>894</v>
      </c>
      <c r="C75" t="s">
        <v>893</v>
      </c>
      <c r="E75" s="1">
        <v>8</v>
      </c>
      <c r="F75" s="1">
        <v>0</v>
      </c>
      <c r="G75" s="21">
        <v>22</v>
      </c>
      <c r="H75" s="85" t="s">
        <v>895</v>
      </c>
    </row>
    <row r="76" spans="2:13" x14ac:dyDescent="0.3">
      <c r="B76" t="s">
        <v>962</v>
      </c>
      <c r="C76" t="s">
        <v>961</v>
      </c>
      <c r="E76" s="1">
        <v>1</v>
      </c>
      <c r="F76" s="1">
        <v>0</v>
      </c>
      <c r="G76" s="21">
        <v>22</v>
      </c>
      <c r="H76" s="85" t="s">
        <v>963</v>
      </c>
    </row>
    <row r="77" spans="2:13" x14ac:dyDescent="0.3">
      <c r="B77" t="s">
        <v>965</v>
      </c>
      <c r="C77" t="s">
        <v>964</v>
      </c>
      <c r="E77" s="1">
        <v>1</v>
      </c>
      <c r="F77" s="1">
        <v>1</v>
      </c>
      <c r="G77" s="21">
        <v>22</v>
      </c>
      <c r="H77" s="85" t="s">
        <v>963</v>
      </c>
    </row>
    <row r="78" spans="2:13" x14ac:dyDescent="0.3">
      <c r="B78" t="s">
        <v>966</v>
      </c>
      <c r="C78" t="s">
        <v>967</v>
      </c>
      <c r="E78" s="1">
        <v>1</v>
      </c>
      <c r="F78" s="1">
        <v>2</v>
      </c>
      <c r="G78" s="21">
        <v>22</v>
      </c>
      <c r="H78" s="85" t="s">
        <v>963</v>
      </c>
    </row>
    <row r="79" spans="2:13" x14ac:dyDescent="0.3">
      <c r="B79" t="s">
        <v>969</v>
      </c>
      <c r="C79" t="s">
        <v>968</v>
      </c>
      <c r="E79" s="1">
        <v>1</v>
      </c>
      <c r="F79" s="1">
        <v>3</v>
      </c>
      <c r="G79" s="21">
        <v>22</v>
      </c>
      <c r="H79" s="85" t="s">
        <v>963</v>
      </c>
      <c r="M79" t="s">
        <v>377</v>
      </c>
    </row>
    <row r="80" spans="2:13" x14ac:dyDescent="0.3">
      <c r="B80" t="s">
        <v>971</v>
      </c>
      <c r="C80" t="s">
        <v>970</v>
      </c>
      <c r="E80" s="1">
        <v>8</v>
      </c>
      <c r="F80" s="1">
        <v>0</v>
      </c>
      <c r="G80" s="21">
        <v>21</v>
      </c>
      <c r="H80" s="86" t="s">
        <v>972</v>
      </c>
    </row>
    <row r="81" spans="2:8" x14ac:dyDescent="0.3">
      <c r="B81" t="s">
        <v>973</v>
      </c>
      <c r="C81" t="s">
        <v>974</v>
      </c>
      <c r="E81" s="1">
        <v>8</v>
      </c>
      <c r="F81" s="1">
        <v>0</v>
      </c>
      <c r="G81" s="21">
        <v>23</v>
      </c>
      <c r="H81" s="87" t="s">
        <v>975</v>
      </c>
    </row>
    <row r="82" spans="2:8" x14ac:dyDescent="0.3">
      <c r="B82" t="s">
        <v>983</v>
      </c>
      <c r="C82" t="s">
        <v>979</v>
      </c>
      <c r="E82" s="1">
        <v>16</v>
      </c>
      <c r="F82" s="1">
        <v>0</v>
      </c>
      <c r="G82" s="21">
        <v>24</v>
      </c>
      <c r="H82" s="89" t="s">
        <v>980</v>
      </c>
    </row>
    <row r="83" spans="2:8" x14ac:dyDescent="0.3">
      <c r="B83" t="s">
        <v>984</v>
      </c>
      <c r="C83" t="s">
        <v>982</v>
      </c>
      <c r="E83" s="1">
        <v>16</v>
      </c>
      <c r="F83" s="1">
        <v>0</v>
      </c>
      <c r="G83" s="21">
        <v>24</v>
      </c>
      <c r="H83" s="89" t="s">
        <v>980</v>
      </c>
    </row>
    <row r="84" spans="2:8" x14ac:dyDescent="0.3">
      <c r="B84" t="s">
        <v>985</v>
      </c>
      <c r="C84" t="s">
        <v>987</v>
      </c>
      <c r="E84" s="1">
        <v>16</v>
      </c>
      <c r="F84" s="1">
        <v>0</v>
      </c>
      <c r="G84" s="21">
        <v>26</v>
      </c>
      <c r="H84" s="90" t="s">
        <v>981</v>
      </c>
    </row>
    <row r="85" spans="2:8" x14ac:dyDescent="0.3">
      <c r="B85" t="s">
        <v>986</v>
      </c>
      <c r="C85" t="s">
        <v>988</v>
      </c>
      <c r="E85" s="1">
        <v>16</v>
      </c>
      <c r="F85" s="1">
        <v>0</v>
      </c>
      <c r="G85" s="21">
        <v>26</v>
      </c>
      <c r="H85" s="90" t="s">
        <v>981</v>
      </c>
    </row>
    <row r="86" spans="2:8" x14ac:dyDescent="0.3">
      <c r="H86" s="88"/>
    </row>
    <row r="87" spans="2:8" x14ac:dyDescent="0.3">
      <c r="H87" s="88"/>
    </row>
    <row r="89" spans="2:8" x14ac:dyDescent="0.3">
      <c r="B89" s="38" t="s">
        <v>665</v>
      </c>
      <c r="C89" s="38" t="s">
        <v>692</v>
      </c>
      <c r="D89" s="38"/>
      <c r="F89" s="1" t="s">
        <v>377</v>
      </c>
    </row>
    <row r="90" spans="2:8" x14ac:dyDescent="0.3">
      <c r="B90" t="s">
        <v>690</v>
      </c>
      <c r="C90" t="s">
        <v>693</v>
      </c>
    </row>
    <row r="91" spans="2:8" x14ac:dyDescent="0.3">
      <c r="B91" t="s">
        <v>553</v>
      </c>
      <c r="C91" t="s">
        <v>694</v>
      </c>
    </row>
    <row r="92" spans="2:8" x14ac:dyDescent="0.3">
      <c r="B92" t="s">
        <v>554</v>
      </c>
      <c r="C92" t="s">
        <v>695</v>
      </c>
    </row>
    <row r="93" spans="2:8" x14ac:dyDescent="0.3">
      <c r="B93" t="s">
        <v>547</v>
      </c>
      <c r="C93" t="s">
        <v>696</v>
      </c>
    </row>
    <row r="94" spans="2:8" x14ac:dyDescent="0.3">
      <c r="B94" t="s">
        <v>548</v>
      </c>
      <c r="C94" t="s">
        <v>697</v>
      </c>
    </row>
    <row r="95" spans="2:8" x14ac:dyDescent="0.3">
      <c r="B95" t="s">
        <v>549</v>
      </c>
      <c r="C95" t="s">
        <v>698</v>
      </c>
    </row>
    <row r="96" spans="2:8" x14ac:dyDescent="0.3">
      <c r="B96" t="s">
        <v>550</v>
      </c>
      <c r="C96" t="s">
        <v>699</v>
      </c>
    </row>
    <row r="97" spans="2:3" x14ac:dyDescent="0.3">
      <c r="B97" t="s">
        <v>551</v>
      </c>
      <c r="C97" t="s">
        <v>700</v>
      </c>
    </row>
    <row r="98" spans="2:3" x14ac:dyDescent="0.3">
      <c r="B98" t="s">
        <v>552</v>
      </c>
      <c r="C98" t="s">
        <v>701</v>
      </c>
    </row>
    <row r="99" spans="2:3" x14ac:dyDescent="0.3">
      <c r="B99" t="s">
        <v>691</v>
      </c>
      <c r="C99" t="s">
        <v>702</v>
      </c>
    </row>
  </sheetData>
  <mergeCells count="12">
    <mergeCell ref="H66:H68"/>
    <mergeCell ref="G5:G8"/>
    <mergeCell ref="G10:G44"/>
    <mergeCell ref="G57:G64"/>
    <mergeCell ref="G66:G70"/>
    <mergeCell ref="G72:G74"/>
    <mergeCell ref="E57:E64"/>
    <mergeCell ref="B25:B44"/>
    <mergeCell ref="B5:B8"/>
    <mergeCell ref="E10:E44"/>
    <mergeCell ref="E5:E8"/>
    <mergeCell ref="B10:B24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8B76-90EE-4299-ABBC-9562C7814C14}">
  <dimension ref="A2:T200"/>
  <sheetViews>
    <sheetView tabSelected="1" topLeftCell="M1" zoomScaleNormal="100" workbookViewId="0">
      <selection activeCell="R21" sqref="R21"/>
    </sheetView>
  </sheetViews>
  <sheetFormatPr baseColWidth="10" defaultRowHeight="14.4" x14ac:dyDescent="0.3"/>
  <cols>
    <col min="1" max="1" width="4" customWidth="1"/>
    <col min="2" max="2" width="4.6640625" customWidth="1"/>
    <col min="3" max="3" width="19.6640625" customWidth="1"/>
    <col min="4" max="4" width="25.33203125" bestFit="1" customWidth="1"/>
    <col min="7" max="7" width="14" bestFit="1" customWidth="1"/>
    <col min="8" max="8" width="4" customWidth="1"/>
    <col min="9" max="9" width="3.33203125" customWidth="1"/>
    <col min="10" max="10" width="13.109375" bestFit="1" customWidth="1"/>
    <col min="11" max="11" width="30.44140625" bestFit="1" customWidth="1"/>
    <col min="12" max="13" width="24.109375" customWidth="1"/>
    <col min="14" max="14" width="26.44140625" bestFit="1" customWidth="1"/>
    <col min="15" max="15" width="24.109375" customWidth="1"/>
    <col min="16" max="16" width="26.44140625" bestFit="1" customWidth="1"/>
    <col min="17" max="17" width="26.109375" bestFit="1" customWidth="1"/>
    <col min="18" max="18" width="25.88671875" bestFit="1" customWidth="1"/>
    <col min="19" max="19" width="28" bestFit="1" customWidth="1"/>
    <col min="20" max="20" width="24.109375" customWidth="1"/>
  </cols>
  <sheetData>
    <row r="2" spans="1:20" x14ac:dyDescent="0.3">
      <c r="A2">
        <v>0</v>
      </c>
      <c r="B2">
        <v>1</v>
      </c>
      <c r="C2" s="2" t="s">
        <v>337</v>
      </c>
      <c r="D2" s="69" t="s">
        <v>819</v>
      </c>
      <c r="E2" t="s">
        <v>348</v>
      </c>
      <c r="J2" s="35" t="s">
        <v>385</v>
      </c>
      <c r="K2" s="35" t="s">
        <v>603</v>
      </c>
      <c r="L2" s="35" t="s">
        <v>604</v>
      </c>
      <c r="M2" s="35" t="s">
        <v>605</v>
      </c>
      <c r="N2" s="35" t="s">
        <v>606</v>
      </c>
      <c r="O2" s="35" t="s">
        <v>607</v>
      </c>
      <c r="P2" s="35" t="s">
        <v>608</v>
      </c>
      <c r="Q2" s="35" t="s">
        <v>609</v>
      </c>
      <c r="R2" s="35" t="s">
        <v>610</v>
      </c>
      <c r="S2" s="35" t="s">
        <v>611</v>
      </c>
      <c r="T2" s="35" t="s">
        <v>612</v>
      </c>
    </row>
    <row r="3" spans="1:20" x14ac:dyDescent="0.3">
      <c r="A3">
        <v>0</v>
      </c>
      <c r="B3">
        <v>2</v>
      </c>
      <c r="C3" s="2" t="s">
        <v>337</v>
      </c>
      <c r="D3" t="s">
        <v>413</v>
      </c>
      <c r="E3" t="s">
        <v>348</v>
      </c>
      <c r="J3" s="36" t="s">
        <v>452</v>
      </c>
      <c r="K3" s="5"/>
      <c r="L3" s="5" t="s">
        <v>901</v>
      </c>
      <c r="M3" s="5" t="s">
        <v>898</v>
      </c>
      <c r="N3" s="5" t="s">
        <v>925</v>
      </c>
      <c r="O3" s="5" t="s">
        <v>680</v>
      </c>
      <c r="P3" s="5"/>
      <c r="Q3" s="5"/>
      <c r="R3" s="5"/>
      <c r="S3" s="5"/>
      <c r="T3" s="5"/>
    </row>
    <row r="4" spans="1:20" x14ac:dyDescent="0.3">
      <c r="A4">
        <v>0</v>
      </c>
      <c r="B4">
        <v>3</v>
      </c>
      <c r="C4" s="2" t="s">
        <v>373</v>
      </c>
      <c r="D4" s="69" t="s">
        <v>374</v>
      </c>
      <c r="E4" t="s">
        <v>350</v>
      </c>
      <c r="G4" t="s">
        <v>459</v>
      </c>
      <c r="H4">
        <v>4</v>
      </c>
      <c r="J4" s="36" t="s">
        <v>117</v>
      </c>
      <c r="K4" s="5" t="s">
        <v>613</v>
      </c>
      <c r="L4" s="5" t="s">
        <v>626</v>
      </c>
      <c r="M4" s="5" t="s">
        <v>857</v>
      </c>
      <c r="N4" s="5" t="s">
        <v>614</v>
      </c>
      <c r="O4" s="5" t="s">
        <v>858</v>
      </c>
      <c r="P4" s="5"/>
      <c r="Q4" s="5" t="s">
        <v>616</v>
      </c>
      <c r="R4" s="5" t="s">
        <v>615</v>
      </c>
      <c r="S4" s="5" t="s">
        <v>377</v>
      </c>
      <c r="T4" s="5" t="s">
        <v>618</v>
      </c>
    </row>
    <row r="5" spans="1:20" x14ac:dyDescent="0.3">
      <c r="A5">
        <v>0</v>
      </c>
      <c r="B5">
        <v>4</v>
      </c>
      <c r="C5" s="2" t="s">
        <v>373</v>
      </c>
      <c r="D5" s="69" t="s">
        <v>340</v>
      </c>
      <c r="E5" t="s">
        <v>351</v>
      </c>
      <c r="G5" t="s">
        <v>460</v>
      </c>
      <c r="H5">
        <v>0</v>
      </c>
      <c r="J5" s="36" t="s">
        <v>120</v>
      </c>
      <c r="K5" s="5" t="s">
        <v>854</v>
      </c>
      <c r="L5" s="5" t="s">
        <v>855</v>
      </c>
      <c r="M5" s="5" t="s">
        <v>703</v>
      </c>
      <c r="N5" s="5" t="s">
        <v>856</v>
      </c>
      <c r="O5" s="5" t="s">
        <v>858</v>
      </c>
      <c r="P5" s="5" t="s">
        <v>868</v>
      </c>
      <c r="Q5" s="5" t="s">
        <v>853</v>
      </c>
      <c r="R5" s="5" t="s">
        <v>615</v>
      </c>
      <c r="S5" s="5" t="s">
        <v>869</v>
      </c>
      <c r="T5" s="5" t="s">
        <v>618</v>
      </c>
    </row>
    <row r="6" spans="1:20" x14ac:dyDescent="0.3">
      <c r="A6">
        <v>0</v>
      </c>
      <c r="B6">
        <v>5</v>
      </c>
      <c r="C6" t="s">
        <v>339</v>
      </c>
      <c r="D6" t="s">
        <v>341</v>
      </c>
      <c r="E6" t="s">
        <v>352</v>
      </c>
      <c r="G6" t="s">
        <v>461</v>
      </c>
      <c r="H6">
        <v>3</v>
      </c>
      <c r="J6" s="36" t="s">
        <v>474</v>
      </c>
      <c r="K6" s="5" t="s">
        <v>613</v>
      </c>
      <c r="L6" s="5" t="s">
        <v>626</v>
      </c>
      <c r="M6" s="5" t="s">
        <v>703</v>
      </c>
      <c r="N6" s="5" t="s">
        <v>614</v>
      </c>
      <c r="O6" s="5" t="s">
        <v>627</v>
      </c>
      <c r="P6" s="5"/>
      <c r="Q6" s="5" t="s">
        <v>616</v>
      </c>
      <c r="R6" s="5" t="s">
        <v>615</v>
      </c>
      <c r="S6" s="5" t="s">
        <v>617</v>
      </c>
      <c r="T6" s="5" t="s">
        <v>618</v>
      </c>
    </row>
    <row r="7" spans="1:20" x14ac:dyDescent="0.3">
      <c r="A7">
        <v>0</v>
      </c>
      <c r="B7">
        <v>6</v>
      </c>
      <c r="C7" t="s">
        <v>344</v>
      </c>
      <c r="D7" t="s">
        <v>342</v>
      </c>
      <c r="E7" t="s">
        <v>353</v>
      </c>
      <c r="G7" t="s">
        <v>450</v>
      </c>
      <c r="H7">
        <v>1</v>
      </c>
      <c r="J7" s="36" t="s">
        <v>480</v>
      </c>
      <c r="K7" s="5"/>
      <c r="L7" s="5"/>
      <c r="M7" s="5"/>
      <c r="N7" s="5"/>
      <c r="O7" s="5"/>
      <c r="P7" s="5"/>
      <c r="Q7" s="5" t="s">
        <v>631</v>
      </c>
      <c r="R7" s="5" t="s">
        <v>632</v>
      </c>
      <c r="S7" s="5" t="s">
        <v>633</v>
      </c>
      <c r="T7" s="5" t="s">
        <v>666</v>
      </c>
    </row>
    <row r="8" spans="1:20" x14ac:dyDescent="0.3">
      <c r="A8">
        <v>0</v>
      </c>
      <c r="B8">
        <v>7</v>
      </c>
      <c r="C8" t="s">
        <v>336</v>
      </c>
      <c r="D8" t="s">
        <v>345</v>
      </c>
      <c r="E8" t="s">
        <v>354</v>
      </c>
      <c r="G8" t="s">
        <v>449</v>
      </c>
      <c r="H8">
        <v>3</v>
      </c>
      <c r="J8" s="36" t="s">
        <v>524</v>
      </c>
      <c r="L8" s="5" t="s">
        <v>640</v>
      </c>
      <c r="M8" s="5" t="s">
        <v>641</v>
      </c>
      <c r="N8" s="5" t="s">
        <v>636</v>
      </c>
      <c r="O8" s="5" t="s">
        <v>638</v>
      </c>
      <c r="P8" s="5" t="s">
        <v>639</v>
      </c>
      <c r="Q8" s="5" t="s">
        <v>642</v>
      </c>
      <c r="R8" s="5" t="s">
        <v>643</v>
      </c>
      <c r="S8" s="5" t="s">
        <v>644</v>
      </c>
      <c r="T8" s="5" t="s">
        <v>637</v>
      </c>
    </row>
    <row r="9" spans="1:20" x14ac:dyDescent="0.3">
      <c r="A9">
        <v>0</v>
      </c>
      <c r="B9">
        <v>8</v>
      </c>
      <c r="C9" t="s">
        <v>343</v>
      </c>
      <c r="D9" t="s">
        <v>359</v>
      </c>
      <c r="E9" t="s">
        <v>360</v>
      </c>
      <c r="G9" t="s">
        <v>462</v>
      </c>
      <c r="H9">
        <v>1</v>
      </c>
      <c r="J9" s="36" t="s">
        <v>149</v>
      </c>
      <c r="K9" s="16" t="s">
        <v>685</v>
      </c>
      <c r="L9" s="5" t="s">
        <v>686</v>
      </c>
      <c r="M9" s="5" t="s">
        <v>687</v>
      </c>
      <c r="N9" s="5" t="s">
        <v>688</v>
      </c>
      <c r="O9" s="5" t="s">
        <v>689</v>
      </c>
      <c r="P9" s="5"/>
      <c r="Q9" s="5"/>
      <c r="R9" s="5"/>
      <c r="S9" s="5"/>
      <c r="T9" s="5"/>
    </row>
    <row r="10" spans="1:20" x14ac:dyDescent="0.3">
      <c r="A10">
        <v>0</v>
      </c>
      <c r="B10">
        <v>9</v>
      </c>
      <c r="C10" t="s">
        <v>336</v>
      </c>
      <c r="D10" t="s">
        <v>368</v>
      </c>
      <c r="E10" t="s">
        <v>369</v>
      </c>
      <c r="G10" t="s">
        <v>444</v>
      </c>
      <c r="H10" s="15" t="s">
        <v>463</v>
      </c>
      <c r="J10" s="36" t="s">
        <v>152</v>
      </c>
      <c r="K10" s="83" t="s">
        <v>942</v>
      </c>
      <c r="L10" s="84" t="s">
        <v>944</v>
      </c>
      <c r="M10" s="84" t="s">
        <v>689</v>
      </c>
      <c r="O10" s="84" t="s">
        <v>943</v>
      </c>
      <c r="P10" s="84" t="s">
        <v>949</v>
      </c>
      <c r="Q10" s="84" t="s">
        <v>950</v>
      </c>
      <c r="R10" s="84" t="s">
        <v>956</v>
      </c>
      <c r="S10" s="84" t="s">
        <v>960</v>
      </c>
      <c r="T10" s="84"/>
    </row>
    <row r="11" spans="1:20" x14ac:dyDescent="0.3">
      <c r="A11">
        <v>0</v>
      </c>
      <c r="B11">
        <v>10</v>
      </c>
      <c r="C11" t="s">
        <v>409</v>
      </c>
      <c r="D11" t="s">
        <v>410</v>
      </c>
      <c r="E11" t="s">
        <v>411</v>
      </c>
      <c r="J11" s="36" t="s">
        <v>704</v>
      </c>
      <c r="K11" s="5" t="s">
        <v>706</v>
      </c>
      <c r="L11" s="5" t="s">
        <v>705</v>
      </c>
      <c r="M11" s="5" t="s">
        <v>680</v>
      </c>
      <c r="N11" s="5"/>
      <c r="O11" s="5"/>
      <c r="P11" s="5" t="s">
        <v>708</v>
      </c>
      <c r="Q11" s="5" t="s">
        <v>616</v>
      </c>
      <c r="R11" s="5"/>
      <c r="S11" s="5"/>
      <c r="T11" s="5"/>
    </row>
    <row r="12" spans="1:20" x14ac:dyDescent="0.3">
      <c r="A12">
        <v>0</v>
      </c>
      <c r="B12">
        <v>11</v>
      </c>
      <c r="C12" s="2" t="s">
        <v>337</v>
      </c>
      <c r="D12" t="s">
        <v>408</v>
      </c>
      <c r="E12" t="s">
        <v>348</v>
      </c>
      <c r="J12" s="36" t="s">
        <v>812</v>
      </c>
      <c r="K12" s="45" t="s">
        <v>818</v>
      </c>
      <c r="L12" s="5" t="s">
        <v>816</v>
      </c>
      <c r="M12" s="5" t="s">
        <v>813</v>
      </c>
      <c r="N12" s="5" t="s">
        <v>840</v>
      </c>
      <c r="O12" s="5" t="s">
        <v>814</v>
      </c>
      <c r="P12" s="5" t="s">
        <v>841</v>
      </c>
      <c r="Q12" s="5" t="s">
        <v>815</v>
      </c>
      <c r="R12" s="5"/>
      <c r="S12" s="5"/>
      <c r="T12" s="5"/>
    </row>
    <row r="13" spans="1:20" x14ac:dyDescent="0.3">
      <c r="A13">
        <v>0</v>
      </c>
      <c r="B13">
        <v>12</v>
      </c>
      <c r="C13" t="s">
        <v>455</v>
      </c>
      <c r="D13" t="s">
        <v>456</v>
      </c>
      <c r="E13" t="s">
        <v>349</v>
      </c>
      <c r="J13" s="36" t="s">
        <v>843</v>
      </c>
      <c r="K13" s="5"/>
      <c r="L13" s="5"/>
      <c r="N13" s="5"/>
      <c r="O13" s="5" t="s">
        <v>844</v>
      </c>
      <c r="P13" s="5"/>
      <c r="Q13" s="5"/>
      <c r="R13" s="5" t="s">
        <v>845</v>
      </c>
      <c r="S13" s="5"/>
      <c r="T13" s="5" t="s">
        <v>377</v>
      </c>
    </row>
    <row r="14" spans="1:20" x14ac:dyDescent="0.3">
      <c r="A14">
        <v>0</v>
      </c>
      <c r="B14">
        <v>13</v>
      </c>
      <c r="C14" s="2" t="s">
        <v>590</v>
      </c>
      <c r="D14" t="s">
        <v>599</v>
      </c>
      <c r="E14" t="s">
        <v>362</v>
      </c>
      <c r="G14" t="s">
        <v>583</v>
      </c>
      <c r="H14">
        <v>0</v>
      </c>
      <c r="J14" s="6" t="s">
        <v>181</v>
      </c>
      <c r="K14" s="5" t="s">
        <v>706</v>
      </c>
      <c r="L14" s="5" t="s">
        <v>915</v>
      </c>
      <c r="M14" s="5" t="s">
        <v>916</v>
      </c>
      <c r="N14" s="5" t="s">
        <v>899</v>
      </c>
      <c r="O14" s="5" t="s">
        <v>929</v>
      </c>
      <c r="P14" s="5" t="s">
        <v>904</v>
      </c>
      <c r="Q14" s="5" t="s">
        <v>616</v>
      </c>
      <c r="R14" s="5" t="s">
        <v>900</v>
      </c>
      <c r="S14" s="5" t="s">
        <v>905</v>
      </c>
      <c r="T14" s="5" t="s">
        <v>906</v>
      </c>
    </row>
    <row r="15" spans="1:20" x14ac:dyDescent="0.3">
      <c r="A15">
        <v>0</v>
      </c>
      <c r="B15">
        <v>14</v>
      </c>
      <c r="C15" s="2" t="s">
        <v>589</v>
      </c>
      <c r="D15" t="s">
        <v>600</v>
      </c>
      <c r="E15" t="s">
        <v>1004</v>
      </c>
      <c r="G15" t="s">
        <v>584</v>
      </c>
      <c r="H15">
        <v>2</v>
      </c>
      <c r="J15" s="6" t="s">
        <v>489</v>
      </c>
      <c r="K15" s="5" t="s">
        <v>920</v>
      </c>
      <c r="L15" s="5" t="s">
        <v>925</v>
      </c>
      <c r="M15" s="5"/>
      <c r="N15" s="5" t="s">
        <v>918</v>
      </c>
      <c r="O15" s="5" t="s">
        <v>927</v>
      </c>
      <c r="P15" s="5" t="s">
        <v>921</v>
      </c>
      <c r="Q15" s="5" t="s">
        <v>377</v>
      </c>
      <c r="R15" s="5"/>
      <c r="S15" s="5"/>
      <c r="T15" s="5" t="s">
        <v>618</v>
      </c>
    </row>
    <row r="16" spans="1:20" x14ac:dyDescent="0.3">
      <c r="A16">
        <v>0</v>
      </c>
      <c r="B16">
        <v>15</v>
      </c>
      <c r="C16" t="s">
        <v>367</v>
      </c>
      <c r="D16" t="s">
        <v>919</v>
      </c>
      <c r="E16" t="s">
        <v>366</v>
      </c>
      <c r="G16" t="s">
        <v>361</v>
      </c>
      <c r="H16">
        <v>1</v>
      </c>
      <c r="J16" s="6" t="s">
        <v>98</v>
      </c>
      <c r="K16" s="5"/>
      <c r="L16" s="5"/>
      <c r="M16" s="5"/>
      <c r="N16" s="5"/>
      <c r="O16" s="5"/>
      <c r="P16" s="5"/>
      <c r="Q16" s="5" t="s">
        <v>950</v>
      </c>
      <c r="R16" s="5" t="s">
        <v>989</v>
      </c>
      <c r="S16" s="5"/>
      <c r="T16" s="5"/>
    </row>
    <row r="17" spans="1:20" x14ac:dyDescent="0.3">
      <c r="A17">
        <v>0</v>
      </c>
      <c r="B17">
        <v>16</v>
      </c>
      <c r="G17" t="s">
        <v>585</v>
      </c>
      <c r="H17">
        <v>4</v>
      </c>
      <c r="J17" s="6" t="s">
        <v>527</v>
      </c>
      <c r="K17" s="5"/>
      <c r="L17" s="5" t="s">
        <v>640</v>
      </c>
      <c r="M17" s="5" t="s">
        <v>641</v>
      </c>
      <c r="N17" s="5" t="s">
        <v>925</v>
      </c>
      <c r="O17" s="5"/>
      <c r="P17" s="5" t="s">
        <v>904</v>
      </c>
      <c r="Q17" s="5" t="s">
        <v>991</v>
      </c>
      <c r="R17" s="5" t="s">
        <v>993</v>
      </c>
      <c r="S17" s="5" t="s">
        <v>992</v>
      </c>
      <c r="T17" s="5" t="s">
        <v>994</v>
      </c>
    </row>
    <row r="18" spans="1:20" x14ac:dyDescent="0.3">
      <c r="A18">
        <v>0</v>
      </c>
      <c r="B18">
        <v>17</v>
      </c>
      <c r="C18" s="2"/>
      <c r="J18" s="6" t="s">
        <v>1002</v>
      </c>
      <c r="K18" s="16" t="s">
        <v>685</v>
      </c>
      <c r="L18" s="5" t="s">
        <v>686</v>
      </c>
      <c r="M18" s="5" t="s">
        <v>377</v>
      </c>
      <c r="N18" s="5"/>
      <c r="O18" s="5"/>
      <c r="P18" s="5"/>
      <c r="Q18" s="5"/>
      <c r="R18" s="5"/>
      <c r="S18" s="5"/>
      <c r="T18" s="5"/>
    </row>
    <row r="19" spans="1:20" x14ac:dyDescent="0.3">
      <c r="A19">
        <v>0</v>
      </c>
      <c r="B19">
        <v>18</v>
      </c>
      <c r="C19" s="2"/>
      <c r="J19" s="6" t="s">
        <v>1003</v>
      </c>
      <c r="K19" s="5" t="s">
        <v>368</v>
      </c>
      <c r="L19" s="5" t="s">
        <v>370</v>
      </c>
      <c r="M19" s="5" t="s">
        <v>377</v>
      </c>
      <c r="N19" s="5"/>
      <c r="O19" s="5"/>
      <c r="P19" s="5"/>
      <c r="Q19" s="5"/>
      <c r="R19" s="5"/>
      <c r="S19" s="5"/>
      <c r="T19" s="5"/>
    </row>
    <row r="20" spans="1:20" x14ac:dyDescent="0.3">
      <c r="A20">
        <v>0</v>
      </c>
      <c r="B20">
        <v>19</v>
      </c>
      <c r="C20" s="2"/>
      <c r="G20" s="34"/>
      <c r="J20" s="6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3">
      <c r="F21" s="46"/>
      <c r="J21" s="6"/>
      <c r="K21" s="5"/>
      <c r="L21" s="5"/>
      <c r="M21" s="5"/>
      <c r="N21" s="5" t="s">
        <v>377</v>
      </c>
      <c r="O21" s="5"/>
      <c r="P21" s="5"/>
      <c r="Q21" s="5"/>
      <c r="R21" s="5"/>
      <c r="S21" s="5"/>
      <c r="T21" s="5"/>
    </row>
    <row r="22" spans="1:20" x14ac:dyDescent="0.3">
      <c r="A22">
        <v>1</v>
      </c>
      <c r="B22">
        <v>1</v>
      </c>
      <c r="C22" t="s">
        <v>336</v>
      </c>
      <c r="D22" s="38" t="s">
        <v>823</v>
      </c>
      <c r="E22" t="s">
        <v>348</v>
      </c>
      <c r="F22" s="46"/>
      <c r="J22" s="6"/>
      <c r="K22" s="5"/>
      <c r="L22" s="5"/>
      <c r="M22" s="5"/>
      <c r="N22" s="5"/>
      <c r="O22" s="5"/>
      <c r="P22" s="5" t="s">
        <v>377</v>
      </c>
      <c r="Q22" s="5"/>
      <c r="R22" s="5"/>
      <c r="S22" s="5"/>
      <c r="T22" s="5"/>
    </row>
    <row r="23" spans="1:20" x14ac:dyDescent="0.3">
      <c r="A23">
        <v>1</v>
      </c>
      <c r="B23">
        <v>2</v>
      </c>
      <c r="C23" s="2" t="s">
        <v>337</v>
      </c>
      <c r="D23" t="s">
        <v>414</v>
      </c>
      <c r="E23" t="s">
        <v>348</v>
      </c>
      <c r="F23" s="46"/>
      <c r="J23" s="6"/>
      <c r="K23" s="5"/>
      <c r="L23" s="5"/>
      <c r="M23" s="5"/>
      <c r="N23" s="5" t="s">
        <v>377</v>
      </c>
      <c r="O23" s="5"/>
      <c r="P23" s="5"/>
      <c r="Q23" s="5"/>
      <c r="R23" s="5"/>
      <c r="S23" s="5"/>
      <c r="T23" s="5"/>
    </row>
    <row r="24" spans="1:20" x14ac:dyDescent="0.3">
      <c r="A24">
        <v>1</v>
      </c>
      <c r="B24">
        <v>3</v>
      </c>
      <c r="C24" t="s">
        <v>336</v>
      </c>
      <c r="D24" s="64" t="s">
        <v>824</v>
      </c>
      <c r="E24" t="s">
        <v>817</v>
      </c>
      <c r="F24" s="46"/>
      <c r="H24" s="116"/>
      <c r="J24" s="6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3">
      <c r="A25">
        <v>1</v>
      </c>
      <c r="B25">
        <v>4</v>
      </c>
      <c r="C25" s="2" t="s">
        <v>337</v>
      </c>
      <c r="D25" t="s">
        <v>628</v>
      </c>
      <c r="E25" t="s">
        <v>348</v>
      </c>
      <c r="F25" s="46"/>
      <c r="H25" s="116"/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x14ac:dyDescent="0.3">
      <c r="A26">
        <v>1</v>
      </c>
      <c r="B26">
        <v>5</v>
      </c>
      <c r="C26" t="s">
        <v>339</v>
      </c>
      <c r="D26" s="38" t="s">
        <v>825</v>
      </c>
      <c r="E26" t="s">
        <v>352</v>
      </c>
      <c r="F26" s="46"/>
    </row>
    <row r="27" spans="1:20" x14ac:dyDescent="0.3">
      <c r="A27">
        <v>1</v>
      </c>
      <c r="B27">
        <v>6</v>
      </c>
      <c r="C27" t="s">
        <v>343</v>
      </c>
      <c r="D27" t="s">
        <v>346</v>
      </c>
      <c r="E27" t="s">
        <v>355</v>
      </c>
      <c r="F27" s="46"/>
    </row>
    <row r="28" spans="1:20" x14ac:dyDescent="0.3">
      <c r="A28">
        <v>1</v>
      </c>
      <c r="B28">
        <v>7</v>
      </c>
      <c r="C28" t="s">
        <v>336</v>
      </c>
      <c r="D28" t="s">
        <v>357</v>
      </c>
      <c r="E28" t="s">
        <v>353</v>
      </c>
      <c r="M28" t="s">
        <v>377</v>
      </c>
    </row>
    <row r="29" spans="1:20" x14ac:dyDescent="0.3">
      <c r="A29">
        <v>1</v>
      </c>
      <c r="B29">
        <v>8</v>
      </c>
      <c r="C29" t="s">
        <v>343</v>
      </c>
      <c r="D29" t="s">
        <v>361</v>
      </c>
      <c r="E29" t="s">
        <v>362</v>
      </c>
      <c r="L29" t="s">
        <v>377</v>
      </c>
    </row>
    <row r="30" spans="1:20" x14ac:dyDescent="0.3">
      <c r="A30">
        <v>1</v>
      </c>
      <c r="B30">
        <v>9</v>
      </c>
      <c r="C30" t="s">
        <v>336</v>
      </c>
      <c r="D30" t="s">
        <v>370</v>
      </c>
      <c r="E30" t="s">
        <v>369</v>
      </c>
    </row>
    <row r="31" spans="1:20" x14ac:dyDescent="0.3">
      <c r="A31">
        <v>1</v>
      </c>
      <c r="B31">
        <v>10</v>
      </c>
      <c r="C31" t="s">
        <v>409</v>
      </c>
      <c r="D31" t="s">
        <v>412</v>
      </c>
      <c r="E31" t="s">
        <v>411</v>
      </c>
    </row>
    <row r="32" spans="1:20" x14ac:dyDescent="0.3">
      <c r="A32">
        <v>1</v>
      </c>
      <c r="B32">
        <v>11</v>
      </c>
      <c r="C32" s="2" t="s">
        <v>337</v>
      </c>
      <c r="D32" t="s">
        <v>407</v>
      </c>
      <c r="E32" t="s">
        <v>348</v>
      </c>
    </row>
    <row r="33" spans="1:5" x14ac:dyDescent="0.3">
      <c r="A33">
        <v>1</v>
      </c>
      <c r="B33">
        <v>12</v>
      </c>
      <c r="C33" s="2" t="s">
        <v>590</v>
      </c>
      <c r="D33" t="s">
        <v>599</v>
      </c>
      <c r="E33" t="s">
        <v>362</v>
      </c>
    </row>
    <row r="34" spans="1:5" x14ac:dyDescent="0.3">
      <c r="A34">
        <v>1</v>
      </c>
      <c r="B34">
        <v>13</v>
      </c>
      <c r="C34" t="s">
        <v>336</v>
      </c>
      <c r="D34" t="s">
        <v>917</v>
      </c>
      <c r="E34" t="s">
        <v>353</v>
      </c>
    </row>
    <row r="35" spans="1:5" x14ac:dyDescent="0.3">
      <c r="A35">
        <v>1</v>
      </c>
      <c r="B35">
        <v>14</v>
      </c>
      <c r="C35" t="s">
        <v>409</v>
      </c>
      <c r="D35" t="s">
        <v>926</v>
      </c>
      <c r="E35" t="s">
        <v>366</v>
      </c>
    </row>
    <row r="36" spans="1:5" x14ac:dyDescent="0.3">
      <c r="A36">
        <v>1</v>
      </c>
      <c r="B36">
        <v>15</v>
      </c>
      <c r="C36" s="2" t="s">
        <v>337</v>
      </c>
      <c r="D36" t="s">
        <v>945</v>
      </c>
      <c r="E36" t="s">
        <v>348</v>
      </c>
    </row>
    <row r="37" spans="1:5" x14ac:dyDescent="0.3">
      <c r="A37">
        <v>1</v>
      </c>
      <c r="B37">
        <v>16</v>
      </c>
    </row>
    <row r="38" spans="1:5" x14ac:dyDescent="0.3">
      <c r="A38">
        <v>1</v>
      </c>
      <c r="B38">
        <v>17</v>
      </c>
    </row>
    <row r="39" spans="1:5" x14ac:dyDescent="0.3">
      <c r="A39">
        <v>1</v>
      </c>
      <c r="B39">
        <v>18</v>
      </c>
    </row>
    <row r="40" spans="1:5" x14ac:dyDescent="0.3">
      <c r="A40">
        <v>1</v>
      </c>
      <c r="B40">
        <v>19</v>
      </c>
    </row>
    <row r="42" spans="1:5" x14ac:dyDescent="0.3">
      <c r="A42">
        <v>2</v>
      </c>
      <c r="B42">
        <v>1</v>
      </c>
      <c r="C42" t="s">
        <v>336</v>
      </c>
      <c r="D42" s="38" t="s">
        <v>827</v>
      </c>
      <c r="E42" t="s">
        <v>458</v>
      </c>
    </row>
    <row r="43" spans="1:5" x14ac:dyDescent="0.3">
      <c r="A43">
        <v>2</v>
      </c>
      <c r="B43">
        <v>2</v>
      </c>
      <c r="C43" t="s">
        <v>338</v>
      </c>
      <c r="D43" s="38" t="s">
        <v>826</v>
      </c>
      <c r="E43" t="s">
        <v>350</v>
      </c>
    </row>
    <row r="44" spans="1:5" x14ac:dyDescent="0.3">
      <c r="A44">
        <v>2</v>
      </c>
      <c r="B44">
        <v>3</v>
      </c>
      <c r="C44" t="s">
        <v>343</v>
      </c>
      <c r="D44" t="s">
        <v>347</v>
      </c>
      <c r="E44" t="s">
        <v>356</v>
      </c>
    </row>
    <row r="45" spans="1:5" x14ac:dyDescent="0.3">
      <c r="A45">
        <v>2</v>
      </c>
      <c r="B45">
        <v>4</v>
      </c>
      <c r="C45" t="s">
        <v>336</v>
      </c>
      <c r="D45" t="s">
        <v>358</v>
      </c>
      <c r="E45" t="s">
        <v>353</v>
      </c>
    </row>
    <row r="46" spans="1:5" x14ac:dyDescent="0.3">
      <c r="A46">
        <v>2</v>
      </c>
      <c r="B46">
        <v>5</v>
      </c>
      <c r="C46" t="s">
        <v>343</v>
      </c>
      <c r="D46" t="s">
        <v>364</v>
      </c>
      <c r="E46" t="s">
        <v>363</v>
      </c>
    </row>
    <row r="47" spans="1:5" x14ac:dyDescent="0.3">
      <c r="A47">
        <v>2</v>
      </c>
      <c r="B47">
        <v>6</v>
      </c>
      <c r="C47" t="s">
        <v>336</v>
      </c>
      <c r="D47" t="s">
        <v>368</v>
      </c>
      <c r="E47" t="s">
        <v>369</v>
      </c>
    </row>
    <row r="48" spans="1:5" x14ac:dyDescent="0.3">
      <c r="A48">
        <v>2</v>
      </c>
      <c r="B48">
        <v>7</v>
      </c>
      <c r="C48" s="2" t="s">
        <v>591</v>
      </c>
      <c r="D48" t="s">
        <v>587</v>
      </c>
      <c r="E48" t="s">
        <v>366</v>
      </c>
    </row>
    <row r="49" spans="1:7" x14ac:dyDescent="0.3">
      <c r="A49">
        <v>2</v>
      </c>
      <c r="B49">
        <v>8</v>
      </c>
      <c r="C49" s="2" t="s">
        <v>589</v>
      </c>
      <c r="D49" t="s">
        <v>891</v>
      </c>
      <c r="E49" t="s">
        <v>366</v>
      </c>
    </row>
    <row r="50" spans="1:7" x14ac:dyDescent="0.3">
      <c r="A50">
        <v>2</v>
      </c>
      <c r="B50">
        <v>9</v>
      </c>
      <c r="C50" s="2" t="s">
        <v>337</v>
      </c>
      <c r="D50" t="s">
        <v>602</v>
      </c>
      <c r="E50" t="s">
        <v>630</v>
      </c>
    </row>
    <row r="51" spans="1:7" x14ac:dyDescent="0.3">
      <c r="A51">
        <v>2</v>
      </c>
      <c r="B51">
        <v>10</v>
      </c>
      <c r="C51" t="s">
        <v>336</v>
      </c>
      <c r="D51" t="s">
        <v>977</v>
      </c>
      <c r="E51" t="s">
        <v>353</v>
      </c>
    </row>
    <row r="52" spans="1:7" x14ac:dyDescent="0.3">
      <c r="A52">
        <v>2</v>
      </c>
      <c r="B52">
        <v>11</v>
      </c>
      <c r="C52" s="2" t="s">
        <v>337</v>
      </c>
      <c r="D52" t="s">
        <v>976</v>
      </c>
      <c r="E52" t="s">
        <v>348</v>
      </c>
    </row>
    <row r="53" spans="1:7" x14ac:dyDescent="0.3">
      <c r="A53">
        <v>2</v>
      </c>
      <c r="B53">
        <v>12</v>
      </c>
    </row>
    <row r="54" spans="1:7" x14ac:dyDescent="0.3">
      <c r="A54">
        <v>2</v>
      </c>
      <c r="B54">
        <v>13</v>
      </c>
    </row>
    <row r="55" spans="1:7" x14ac:dyDescent="0.3">
      <c r="A55">
        <v>2</v>
      </c>
      <c r="B55">
        <v>14</v>
      </c>
    </row>
    <row r="56" spans="1:7" x14ac:dyDescent="0.3">
      <c r="A56">
        <v>2</v>
      </c>
      <c r="B56">
        <v>15</v>
      </c>
      <c r="G56" t="s">
        <v>377</v>
      </c>
    </row>
    <row r="57" spans="1:7" x14ac:dyDescent="0.3">
      <c r="A57">
        <v>2</v>
      </c>
      <c r="B57">
        <v>16</v>
      </c>
    </row>
    <row r="58" spans="1:7" x14ac:dyDescent="0.3">
      <c r="A58">
        <v>2</v>
      </c>
      <c r="B58">
        <v>17</v>
      </c>
    </row>
    <row r="59" spans="1:7" x14ac:dyDescent="0.3">
      <c r="A59">
        <v>2</v>
      </c>
      <c r="B59">
        <v>18</v>
      </c>
    </row>
    <row r="60" spans="1:7" x14ac:dyDescent="0.3">
      <c r="A60">
        <v>2</v>
      </c>
      <c r="B60">
        <v>19</v>
      </c>
    </row>
    <row r="62" spans="1:7" x14ac:dyDescent="0.3">
      <c r="A62">
        <v>3</v>
      </c>
      <c r="B62">
        <v>1</v>
      </c>
      <c r="C62" t="s">
        <v>336</v>
      </c>
      <c r="D62" s="65" t="s">
        <v>828</v>
      </c>
      <c r="E62" t="s">
        <v>348</v>
      </c>
    </row>
    <row r="63" spans="1:7" x14ac:dyDescent="0.3">
      <c r="A63">
        <v>3</v>
      </c>
      <c r="B63">
        <v>2</v>
      </c>
      <c r="C63" t="s">
        <v>338</v>
      </c>
      <c r="D63" s="66" t="s">
        <v>829</v>
      </c>
      <c r="E63" t="s">
        <v>817</v>
      </c>
    </row>
    <row r="64" spans="1:7" x14ac:dyDescent="0.3">
      <c r="A64">
        <v>3</v>
      </c>
      <c r="B64">
        <v>3</v>
      </c>
      <c r="C64" t="s">
        <v>339</v>
      </c>
      <c r="D64" s="65" t="s">
        <v>830</v>
      </c>
      <c r="E64" t="s">
        <v>352</v>
      </c>
    </row>
    <row r="65" spans="1:5" x14ac:dyDescent="0.3">
      <c r="A65">
        <v>3</v>
      </c>
      <c r="B65">
        <v>4</v>
      </c>
      <c r="C65" t="s">
        <v>336</v>
      </c>
      <c r="D65" t="s">
        <v>365</v>
      </c>
      <c r="E65" t="s">
        <v>349</v>
      </c>
    </row>
    <row r="66" spans="1:5" x14ac:dyDescent="0.3">
      <c r="A66">
        <v>3</v>
      </c>
      <c r="B66">
        <v>5</v>
      </c>
      <c r="C66" t="s">
        <v>336</v>
      </c>
      <c r="D66" t="s">
        <v>370</v>
      </c>
      <c r="E66" t="s">
        <v>369</v>
      </c>
    </row>
    <row r="67" spans="1:5" x14ac:dyDescent="0.3">
      <c r="A67">
        <v>3</v>
      </c>
      <c r="B67">
        <v>6</v>
      </c>
      <c r="C67" t="s">
        <v>455</v>
      </c>
      <c r="D67" t="s">
        <v>457</v>
      </c>
      <c r="E67" t="s">
        <v>458</v>
      </c>
    </row>
    <row r="68" spans="1:5" x14ac:dyDescent="0.3">
      <c r="A68">
        <v>3</v>
      </c>
      <c r="B68">
        <v>7</v>
      </c>
      <c r="C68" t="s">
        <v>336</v>
      </c>
      <c r="D68" t="s">
        <v>595</v>
      </c>
      <c r="E68" t="s">
        <v>593</v>
      </c>
    </row>
    <row r="69" spans="1:5" x14ac:dyDescent="0.3">
      <c r="A69">
        <v>3</v>
      </c>
      <c r="B69">
        <v>8</v>
      </c>
      <c r="C69" s="2" t="s">
        <v>590</v>
      </c>
      <c r="D69" t="s">
        <v>601</v>
      </c>
      <c r="E69" t="s">
        <v>362</v>
      </c>
    </row>
    <row r="70" spans="1:5" x14ac:dyDescent="0.3">
      <c r="A70">
        <v>3</v>
      </c>
      <c r="B70">
        <v>9</v>
      </c>
      <c r="C70" s="2" t="s">
        <v>337</v>
      </c>
      <c r="D70" t="s">
        <v>892</v>
      </c>
      <c r="E70" t="s">
        <v>630</v>
      </c>
    </row>
    <row r="71" spans="1:5" x14ac:dyDescent="0.3">
      <c r="A71">
        <v>3</v>
      </c>
      <c r="B71">
        <v>10</v>
      </c>
    </row>
    <row r="72" spans="1:5" x14ac:dyDescent="0.3">
      <c r="A72">
        <v>3</v>
      </c>
      <c r="B72">
        <v>11</v>
      </c>
    </row>
    <row r="73" spans="1:5" x14ac:dyDescent="0.3">
      <c r="A73">
        <v>3</v>
      </c>
      <c r="B73">
        <v>12</v>
      </c>
    </row>
    <row r="74" spans="1:5" x14ac:dyDescent="0.3">
      <c r="A74">
        <v>3</v>
      </c>
      <c r="B74">
        <v>13</v>
      </c>
    </row>
    <row r="75" spans="1:5" x14ac:dyDescent="0.3">
      <c r="A75">
        <v>3</v>
      </c>
      <c r="B75">
        <v>14</v>
      </c>
    </row>
    <row r="76" spans="1:5" x14ac:dyDescent="0.3">
      <c r="A76">
        <v>3</v>
      </c>
      <c r="B76">
        <v>15</v>
      </c>
    </row>
    <row r="77" spans="1:5" x14ac:dyDescent="0.3">
      <c r="A77">
        <v>3</v>
      </c>
      <c r="B77">
        <v>16</v>
      </c>
    </row>
    <row r="78" spans="1:5" x14ac:dyDescent="0.3">
      <c r="A78">
        <v>3</v>
      </c>
      <c r="B78">
        <v>17</v>
      </c>
    </row>
    <row r="79" spans="1:5" x14ac:dyDescent="0.3">
      <c r="A79">
        <v>3</v>
      </c>
      <c r="B79">
        <v>18</v>
      </c>
    </row>
    <row r="80" spans="1:5" x14ac:dyDescent="0.3">
      <c r="A80">
        <v>3</v>
      </c>
      <c r="B80">
        <v>19</v>
      </c>
    </row>
    <row r="82" spans="1:5" x14ac:dyDescent="0.3">
      <c r="A82">
        <v>4</v>
      </c>
      <c r="B82">
        <v>1</v>
      </c>
      <c r="C82" t="s">
        <v>367</v>
      </c>
      <c r="D82" t="s">
        <v>667</v>
      </c>
      <c r="E82" t="s">
        <v>366</v>
      </c>
    </row>
    <row r="83" spans="1:5" x14ac:dyDescent="0.3">
      <c r="A83">
        <v>4</v>
      </c>
      <c r="B83">
        <v>2</v>
      </c>
      <c r="C83" t="s">
        <v>338</v>
      </c>
      <c r="D83" s="65" t="s">
        <v>831</v>
      </c>
      <c r="E83" t="s">
        <v>350</v>
      </c>
    </row>
    <row r="84" spans="1:5" x14ac:dyDescent="0.3">
      <c r="A84">
        <v>4</v>
      </c>
      <c r="B84">
        <v>3</v>
      </c>
      <c r="C84" t="s">
        <v>336</v>
      </c>
      <c r="D84" s="65" t="s">
        <v>832</v>
      </c>
      <c r="E84" t="s">
        <v>458</v>
      </c>
    </row>
    <row r="85" spans="1:5" x14ac:dyDescent="0.3">
      <c r="A85">
        <v>4</v>
      </c>
      <c r="B85">
        <v>4</v>
      </c>
      <c r="C85" s="2" t="s">
        <v>337</v>
      </c>
      <c r="D85" t="s">
        <v>406</v>
      </c>
      <c r="E85" t="s">
        <v>348</v>
      </c>
    </row>
    <row r="86" spans="1:5" x14ac:dyDescent="0.3">
      <c r="A86">
        <v>4</v>
      </c>
      <c r="B86">
        <v>5</v>
      </c>
      <c r="C86" t="s">
        <v>343</v>
      </c>
      <c r="D86" t="s">
        <v>347</v>
      </c>
      <c r="E86" t="s">
        <v>356</v>
      </c>
    </row>
    <row r="87" spans="1:5" x14ac:dyDescent="0.3">
      <c r="A87">
        <v>4</v>
      </c>
      <c r="B87">
        <v>6</v>
      </c>
      <c r="C87" s="2" t="s">
        <v>337</v>
      </c>
      <c r="D87" t="s">
        <v>629</v>
      </c>
      <c r="E87" t="s">
        <v>630</v>
      </c>
    </row>
    <row r="88" spans="1:5" x14ac:dyDescent="0.3">
      <c r="A88">
        <v>4</v>
      </c>
      <c r="B88">
        <v>7</v>
      </c>
      <c r="C88" t="s">
        <v>336</v>
      </c>
      <c r="D88" t="s">
        <v>594</v>
      </c>
      <c r="E88" t="s">
        <v>593</v>
      </c>
    </row>
    <row r="89" spans="1:5" x14ac:dyDescent="0.3">
      <c r="A89">
        <v>4</v>
      </c>
      <c r="B89">
        <v>8</v>
      </c>
      <c r="C89" s="2" t="s">
        <v>589</v>
      </c>
      <c r="D89" t="s">
        <v>859</v>
      </c>
      <c r="E89" t="s">
        <v>366</v>
      </c>
    </row>
    <row r="90" spans="1:5" x14ac:dyDescent="0.3">
      <c r="A90">
        <v>4</v>
      </c>
      <c r="B90">
        <v>9</v>
      </c>
      <c r="C90" t="s">
        <v>336</v>
      </c>
      <c r="D90" t="s">
        <v>978</v>
      </c>
      <c r="E90" t="s">
        <v>348</v>
      </c>
    </row>
    <row r="91" spans="1:5" x14ac:dyDescent="0.3">
      <c r="A91">
        <v>4</v>
      </c>
      <c r="B91">
        <v>10</v>
      </c>
    </row>
    <row r="92" spans="1:5" x14ac:dyDescent="0.3">
      <c r="A92">
        <v>4</v>
      </c>
      <c r="B92">
        <v>11</v>
      </c>
      <c r="C92" t="s">
        <v>367</v>
      </c>
      <c r="D92" t="s">
        <v>928</v>
      </c>
      <c r="E92" t="s">
        <v>411</v>
      </c>
    </row>
    <row r="93" spans="1:5" x14ac:dyDescent="0.3">
      <c r="A93">
        <v>4</v>
      </c>
      <c r="B93">
        <v>12</v>
      </c>
    </row>
    <row r="94" spans="1:5" x14ac:dyDescent="0.3">
      <c r="A94">
        <v>4</v>
      </c>
      <c r="B94">
        <v>13</v>
      </c>
    </row>
    <row r="95" spans="1:5" x14ac:dyDescent="0.3">
      <c r="A95">
        <v>4</v>
      </c>
      <c r="B95">
        <v>14</v>
      </c>
    </row>
    <row r="96" spans="1:5" x14ac:dyDescent="0.3">
      <c r="A96">
        <v>4</v>
      </c>
      <c r="B96">
        <v>15</v>
      </c>
    </row>
    <row r="97" spans="1:5" x14ac:dyDescent="0.3">
      <c r="A97">
        <v>4</v>
      </c>
      <c r="B97">
        <v>16</v>
      </c>
    </row>
    <row r="98" spans="1:5" x14ac:dyDescent="0.3">
      <c r="A98">
        <v>4</v>
      </c>
      <c r="B98">
        <v>17</v>
      </c>
    </row>
    <row r="99" spans="1:5" x14ac:dyDescent="0.3">
      <c r="A99">
        <v>4</v>
      </c>
      <c r="B99">
        <v>18</v>
      </c>
    </row>
    <row r="100" spans="1:5" x14ac:dyDescent="0.3">
      <c r="A100">
        <v>4</v>
      </c>
      <c r="B100">
        <v>19</v>
      </c>
    </row>
    <row r="102" spans="1:5" x14ac:dyDescent="0.3">
      <c r="A102">
        <v>5</v>
      </c>
      <c r="B102">
        <v>1</v>
      </c>
      <c r="C102" t="s">
        <v>367</v>
      </c>
      <c r="D102" t="s">
        <v>645</v>
      </c>
      <c r="E102" t="s">
        <v>366</v>
      </c>
    </row>
    <row r="103" spans="1:5" x14ac:dyDescent="0.3">
      <c r="A103">
        <v>5</v>
      </c>
      <c r="B103">
        <v>2</v>
      </c>
      <c r="C103" t="s">
        <v>455</v>
      </c>
      <c r="D103" t="s">
        <v>707</v>
      </c>
      <c r="E103" t="s">
        <v>630</v>
      </c>
    </row>
    <row r="104" spans="1:5" x14ac:dyDescent="0.3">
      <c r="A104">
        <v>5</v>
      </c>
      <c r="B104">
        <v>3</v>
      </c>
      <c r="C104" t="s">
        <v>336</v>
      </c>
      <c r="D104" s="67" t="s">
        <v>833</v>
      </c>
      <c r="E104" t="s">
        <v>348</v>
      </c>
    </row>
    <row r="105" spans="1:5" x14ac:dyDescent="0.3">
      <c r="A105">
        <v>5</v>
      </c>
      <c r="B105">
        <v>4</v>
      </c>
      <c r="C105" t="s">
        <v>338</v>
      </c>
      <c r="D105" s="68" t="s">
        <v>834</v>
      </c>
      <c r="E105" t="s">
        <v>817</v>
      </c>
    </row>
    <row r="106" spans="1:5" x14ac:dyDescent="0.3">
      <c r="A106">
        <v>5</v>
      </c>
      <c r="B106">
        <v>5</v>
      </c>
      <c r="C106" t="s">
        <v>339</v>
      </c>
      <c r="D106" s="67" t="s">
        <v>835</v>
      </c>
      <c r="E106" t="s">
        <v>352</v>
      </c>
    </row>
    <row r="107" spans="1:5" x14ac:dyDescent="0.3">
      <c r="A107">
        <v>5</v>
      </c>
      <c r="B107">
        <v>6</v>
      </c>
      <c r="C107" t="s">
        <v>367</v>
      </c>
      <c r="D107" t="s">
        <v>860</v>
      </c>
      <c r="E107" t="s">
        <v>366</v>
      </c>
    </row>
    <row r="108" spans="1:5" x14ac:dyDescent="0.3">
      <c r="A108">
        <v>5</v>
      </c>
      <c r="B108">
        <v>7</v>
      </c>
      <c r="C108" t="s">
        <v>343</v>
      </c>
      <c r="D108" t="s">
        <v>346</v>
      </c>
      <c r="E108" t="s">
        <v>355</v>
      </c>
    </row>
    <row r="109" spans="1:5" x14ac:dyDescent="0.3">
      <c r="A109">
        <v>5</v>
      </c>
      <c r="B109">
        <v>8</v>
      </c>
      <c r="C109" t="s">
        <v>923</v>
      </c>
      <c r="D109" t="s">
        <v>922</v>
      </c>
      <c r="E109" t="s">
        <v>924</v>
      </c>
    </row>
    <row r="110" spans="1:5" x14ac:dyDescent="0.3">
      <c r="A110">
        <v>5</v>
      </c>
      <c r="B110">
        <v>9</v>
      </c>
      <c r="C110" t="s">
        <v>946</v>
      </c>
      <c r="D110" t="s">
        <v>948</v>
      </c>
      <c r="E110" t="s">
        <v>947</v>
      </c>
    </row>
    <row r="111" spans="1:5" x14ac:dyDescent="0.3">
      <c r="A111">
        <v>5</v>
      </c>
      <c r="B111">
        <v>10</v>
      </c>
    </row>
    <row r="112" spans="1:5" x14ac:dyDescent="0.3">
      <c r="A112">
        <v>5</v>
      </c>
      <c r="B112">
        <v>11</v>
      </c>
    </row>
    <row r="113" spans="1:5" x14ac:dyDescent="0.3">
      <c r="A113">
        <v>5</v>
      </c>
      <c r="B113">
        <v>12</v>
      </c>
    </row>
    <row r="114" spans="1:5" x14ac:dyDescent="0.3">
      <c r="A114">
        <v>5</v>
      </c>
      <c r="B114">
        <v>13</v>
      </c>
    </row>
    <row r="115" spans="1:5" x14ac:dyDescent="0.3">
      <c r="A115">
        <v>5</v>
      </c>
      <c r="B115">
        <v>14</v>
      </c>
    </row>
    <row r="116" spans="1:5" x14ac:dyDescent="0.3">
      <c r="A116">
        <v>5</v>
      </c>
      <c r="B116">
        <v>15</v>
      </c>
    </row>
    <row r="117" spans="1:5" x14ac:dyDescent="0.3">
      <c r="A117">
        <v>5</v>
      </c>
      <c r="B117">
        <v>16</v>
      </c>
    </row>
    <row r="118" spans="1:5" x14ac:dyDescent="0.3">
      <c r="A118">
        <v>5</v>
      </c>
      <c r="B118">
        <v>17</v>
      </c>
    </row>
    <row r="119" spans="1:5" x14ac:dyDescent="0.3">
      <c r="A119">
        <v>5</v>
      </c>
      <c r="B119">
        <v>18</v>
      </c>
    </row>
    <row r="120" spans="1:5" x14ac:dyDescent="0.3">
      <c r="A120">
        <v>5</v>
      </c>
      <c r="B120">
        <v>19</v>
      </c>
    </row>
    <row r="122" spans="1:5" x14ac:dyDescent="0.3">
      <c r="A122">
        <v>6</v>
      </c>
      <c r="B122">
        <v>1</v>
      </c>
      <c r="C122" t="s">
        <v>343</v>
      </c>
      <c r="D122" t="s">
        <v>361</v>
      </c>
      <c r="E122" t="s">
        <v>362</v>
      </c>
    </row>
    <row r="123" spans="1:5" x14ac:dyDescent="0.3">
      <c r="A123">
        <v>6</v>
      </c>
      <c r="B123">
        <v>2</v>
      </c>
      <c r="C123" t="s">
        <v>367</v>
      </c>
      <c r="D123" t="s">
        <v>646</v>
      </c>
      <c r="E123" t="s">
        <v>366</v>
      </c>
    </row>
    <row r="124" spans="1:5" x14ac:dyDescent="0.3">
      <c r="A124">
        <v>6</v>
      </c>
      <c r="B124">
        <v>3</v>
      </c>
      <c r="C124" t="s">
        <v>336</v>
      </c>
      <c r="D124" t="s">
        <v>820</v>
      </c>
      <c r="E124" t="s">
        <v>348</v>
      </c>
    </row>
    <row r="125" spans="1:5" x14ac:dyDescent="0.3">
      <c r="A125">
        <v>6</v>
      </c>
      <c r="B125">
        <v>4</v>
      </c>
      <c r="C125" t="s">
        <v>338</v>
      </c>
      <c r="D125" s="67" t="s">
        <v>836</v>
      </c>
      <c r="E125" t="s">
        <v>350</v>
      </c>
    </row>
    <row r="126" spans="1:5" x14ac:dyDescent="0.3">
      <c r="A126">
        <v>6</v>
      </c>
      <c r="B126">
        <v>5</v>
      </c>
      <c r="C126" t="s">
        <v>338</v>
      </c>
      <c r="D126" s="67" t="s">
        <v>837</v>
      </c>
      <c r="E126" t="s">
        <v>458</v>
      </c>
    </row>
    <row r="127" spans="1:5" x14ac:dyDescent="0.3">
      <c r="A127">
        <v>6</v>
      </c>
      <c r="B127">
        <v>6</v>
      </c>
      <c r="C127" t="s">
        <v>343</v>
      </c>
      <c r="D127" t="s">
        <v>861</v>
      </c>
      <c r="E127" t="s">
        <v>362</v>
      </c>
    </row>
    <row r="128" spans="1:5" x14ac:dyDescent="0.3">
      <c r="A128">
        <v>6</v>
      </c>
      <c r="B128">
        <v>7</v>
      </c>
      <c r="C128" t="s">
        <v>343</v>
      </c>
      <c r="D128" t="s">
        <v>896</v>
      </c>
      <c r="E128" t="s">
        <v>362</v>
      </c>
    </row>
    <row r="129" spans="1:5" x14ac:dyDescent="0.3">
      <c r="A129">
        <v>6</v>
      </c>
      <c r="B129">
        <v>8</v>
      </c>
      <c r="C129" t="s">
        <v>946</v>
      </c>
      <c r="D129" t="s">
        <v>951</v>
      </c>
      <c r="E129" t="s">
        <v>952</v>
      </c>
    </row>
    <row r="130" spans="1:5" x14ac:dyDescent="0.3">
      <c r="A130">
        <v>6</v>
      </c>
      <c r="B130">
        <v>9</v>
      </c>
      <c r="C130" t="s">
        <v>1000</v>
      </c>
      <c r="D130" t="s">
        <v>998</v>
      </c>
      <c r="E130" t="s">
        <v>999</v>
      </c>
    </row>
    <row r="131" spans="1:5" x14ac:dyDescent="0.3">
      <c r="A131">
        <v>6</v>
      </c>
      <c r="B131">
        <v>10</v>
      </c>
    </row>
    <row r="132" spans="1:5" x14ac:dyDescent="0.3">
      <c r="A132">
        <v>6</v>
      </c>
      <c r="B132">
        <v>11</v>
      </c>
      <c r="C132" t="s">
        <v>377</v>
      </c>
    </row>
    <row r="133" spans="1:5" x14ac:dyDescent="0.3">
      <c r="A133">
        <v>6</v>
      </c>
      <c r="B133">
        <v>12</v>
      </c>
    </row>
    <row r="134" spans="1:5" x14ac:dyDescent="0.3">
      <c r="A134">
        <v>6</v>
      </c>
      <c r="B134">
        <v>13</v>
      </c>
    </row>
    <row r="135" spans="1:5" x14ac:dyDescent="0.3">
      <c r="A135">
        <v>6</v>
      </c>
      <c r="B135">
        <v>14</v>
      </c>
    </row>
    <row r="136" spans="1:5" x14ac:dyDescent="0.3">
      <c r="A136">
        <v>6</v>
      </c>
      <c r="B136">
        <v>15</v>
      </c>
    </row>
    <row r="137" spans="1:5" x14ac:dyDescent="0.3">
      <c r="A137">
        <v>6</v>
      </c>
      <c r="B137">
        <v>16</v>
      </c>
    </row>
    <row r="138" spans="1:5" x14ac:dyDescent="0.3">
      <c r="A138">
        <v>6</v>
      </c>
      <c r="B138">
        <v>17</v>
      </c>
    </row>
    <row r="139" spans="1:5" x14ac:dyDescent="0.3">
      <c r="A139">
        <v>6</v>
      </c>
      <c r="B139">
        <v>18</v>
      </c>
    </row>
    <row r="140" spans="1:5" x14ac:dyDescent="0.3">
      <c r="A140">
        <v>6</v>
      </c>
      <c r="B140">
        <v>19</v>
      </c>
    </row>
    <row r="141" spans="1:5" x14ac:dyDescent="0.3">
      <c r="B141" t="s">
        <v>377</v>
      </c>
    </row>
    <row r="142" spans="1:5" x14ac:dyDescent="0.3">
      <c r="A142">
        <v>7</v>
      </c>
      <c r="B142">
        <v>1</v>
      </c>
      <c r="C142" t="s">
        <v>409</v>
      </c>
      <c r="D142" t="s">
        <v>586</v>
      </c>
      <c r="E142" t="s">
        <v>1004</v>
      </c>
    </row>
    <row r="143" spans="1:5" x14ac:dyDescent="0.3">
      <c r="A143">
        <v>7</v>
      </c>
      <c r="B143">
        <v>2</v>
      </c>
      <c r="C143" t="s">
        <v>336</v>
      </c>
      <c r="D143" t="s">
        <v>635</v>
      </c>
      <c r="E143" t="s">
        <v>348</v>
      </c>
    </row>
    <row r="144" spans="1:5" x14ac:dyDescent="0.3">
      <c r="A144">
        <v>7</v>
      </c>
      <c r="B144">
        <v>3</v>
      </c>
      <c r="C144" t="s">
        <v>367</v>
      </c>
      <c r="D144" t="s">
        <v>647</v>
      </c>
      <c r="E144" t="s">
        <v>366</v>
      </c>
    </row>
    <row r="145" spans="1:5" x14ac:dyDescent="0.3">
      <c r="A145">
        <v>7</v>
      </c>
      <c r="B145">
        <v>4</v>
      </c>
      <c r="C145" t="s">
        <v>343</v>
      </c>
      <c r="D145" t="s">
        <v>846</v>
      </c>
      <c r="E145" t="s">
        <v>356</v>
      </c>
    </row>
    <row r="146" spans="1:5" x14ac:dyDescent="0.3">
      <c r="A146">
        <v>7</v>
      </c>
      <c r="B146">
        <v>5</v>
      </c>
      <c r="C146" t="s">
        <v>343</v>
      </c>
      <c r="D146" t="s">
        <v>364</v>
      </c>
      <c r="E146" t="s">
        <v>363</v>
      </c>
    </row>
    <row r="147" spans="1:5" x14ac:dyDescent="0.3">
      <c r="A147">
        <v>7</v>
      </c>
      <c r="B147">
        <v>6</v>
      </c>
      <c r="C147" t="s">
        <v>954</v>
      </c>
      <c r="D147" t="s">
        <v>953</v>
      </c>
      <c r="E147" t="s">
        <v>955</v>
      </c>
    </row>
    <row r="148" spans="1:5" x14ac:dyDescent="0.3">
      <c r="A148">
        <v>7</v>
      </c>
      <c r="B148">
        <v>7</v>
      </c>
      <c r="C148" t="s">
        <v>1000</v>
      </c>
      <c r="D148" t="s">
        <v>1001</v>
      </c>
      <c r="E148" t="s">
        <v>999</v>
      </c>
    </row>
    <row r="149" spans="1:5" x14ac:dyDescent="0.3">
      <c r="A149">
        <v>7</v>
      </c>
      <c r="B149">
        <v>8</v>
      </c>
    </row>
    <row r="150" spans="1:5" x14ac:dyDescent="0.3">
      <c r="A150">
        <v>7</v>
      </c>
      <c r="B150">
        <v>9</v>
      </c>
    </row>
    <row r="151" spans="1:5" x14ac:dyDescent="0.3">
      <c r="A151">
        <v>7</v>
      </c>
      <c r="B151">
        <v>10</v>
      </c>
    </row>
    <row r="152" spans="1:5" x14ac:dyDescent="0.3">
      <c r="A152">
        <v>7</v>
      </c>
      <c r="B152">
        <v>11</v>
      </c>
    </row>
    <row r="153" spans="1:5" x14ac:dyDescent="0.3">
      <c r="A153">
        <v>7</v>
      </c>
      <c r="B153">
        <v>12</v>
      </c>
    </row>
    <row r="154" spans="1:5" x14ac:dyDescent="0.3">
      <c r="A154">
        <v>7</v>
      </c>
      <c r="B154">
        <v>13</v>
      </c>
    </row>
    <row r="155" spans="1:5" x14ac:dyDescent="0.3">
      <c r="A155">
        <v>7</v>
      </c>
      <c r="B155">
        <v>14</v>
      </c>
    </row>
    <row r="156" spans="1:5" x14ac:dyDescent="0.3">
      <c r="A156">
        <v>7</v>
      </c>
      <c r="B156">
        <v>15</v>
      </c>
    </row>
    <row r="157" spans="1:5" x14ac:dyDescent="0.3">
      <c r="A157">
        <v>7</v>
      </c>
      <c r="B157">
        <v>16</v>
      </c>
    </row>
    <row r="158" spans="1:5" x14ac:dyDescent="0.3">
      <c r="A158">
        <v>7</v>
      </c>
      <c r="B158">
        <v>17</v>
      </c>
    </row>
    <row r="159" spans="1:5" x14ac:dyDescent="0.3">
      <c r="A159">
        <v>7</v>
      </c>
      <c r="B159">
        <v>18</v>
      </c>
    </row>
    <row r="160" spans="1:5" x14ac:dyDescent="0.3">
      <c r="A160">
        <v>7</v>
      </c>
      <c r="B160">
        <v>19</v>
      </c>
    </row>
    <row r="162" spans="1:5" x14ac:dyDescent="0.3">
      <c r="A162">
        <v>8</v>
      </c>
      <c r="B162">
        <v>1</v>
      </c>
      <c r="C162" t="s">
        <v>343</v>
      </c>
      <c r="D162" t="s">
        <v>588</v>
      </c>
      <c r="E162" t="s">
        <v>362</v>
      </c>
    </row>
    <row r="163" spans="1:5" x14ac:dyDescent="0.3">
      <c r="A163">
        <v>8</v>
      </c>
      <c r="B163">
        <v>2</v>
      </c>
      <c r="C163" t="s">
        <v>336</v>
      </c>
      <c r="D163" t="s">
        <v>821</v>
      </c>
      <c r="E163" t="s">
        <v>348</v>
      </c>
    </row>
    <row r="164" spans="1:5" x14ac:dyDescent="0.3">
      <c r="A164">
        <v>8</v>
      </c>
      <c r="B164">
        <v>3</v>
      </c>
      <c r="C164" t="s">
        <v>367</v>
      </c>
      <c r="D164" t="s">
        <v>648</v>
      </c>
      <c r="E164" t="s">
        <v>366</v>
      </c>
    </row>
    <row r="165" spans="1:5" x14ac:dyDescent="0.3">
      <c r="A165">
        <v>8</v>
      </c>
      <c r="B165">
        <v>4</v>
      </c>
      <c r="C165" t="s">
        <v>343</v>
      </c>
      <c r="D165" t="s">
        <v>897</v>
      </c>
      <c r="E165" t="s">
        <v>362</v>
      </c>
    </row>
    <row r="166" spans="1:5" x14ac:dyDescent="0.3">
      <c r="A166">
        <v>8</v>
      </c>
      <c r="B166">
        <v>5</v>
      </c>
      <c r="C166" t="s">
        <v>336</v>
      </c>
      <c r="D166" t="s">
        <v>902</v>
      </c>
      <c r="E166" t="s">
        <v>348</v>
      </c>
    </row>
    <row r="167" spans="1:5" x14ac:dyDescent="0.3">
      <c r="A167">
        <v>8</v>
      </c>
      <c r="B167">
        <v>6</v>
      </c>
      <c r="C167" t="s">
        <v>958</v>
      </c>
      <c r="D167" t="s">
        <v>957</v>
      </c>
      <c r="E167" t="s">
        <v>959</v>
      </c>
    </row>
    <row r="168" spans="1:5" x14ac:dyDescent="0.3">
      <c r="A168">
        <v>8</v>
      </c>
      <c r="B168">
        <v>7</v>
      </c>
      <c r="C168" t="s">
        <v>1000</v>
      </c>
      <c r="D168" t="s">
        <v>998</v>
      </c>
      <c r="E168" t="s">
        <v>999</v>
      </c>
    </row>
    <row r="169" spans="1:5" x14ac:dyDescent="0.3">
      <c r="A169">
        <v>8</v>
      </c>
      <c r="B169">
        <v>8</v>
      </c>
    </row>
    <row r="170" spans="1:5" x14ac:dyDescent="0.3">
      <c r="A170">
        <v>8</v>
      </c>
      <c r="B170">
        <v>9</v>
      </c>
    </row>
    <row r="171" spans="1:5" x14ac:dyDescent="0.3">
      <c r="A171">
        <v>8</v>
      </c>
      <c r="B171">
        <v>10</v>
      </c>
    </row>
    <row r="172" spans="1:5" x14ac:dyDescent="0.3">
      <c r="A172">
        <v>8</v>
      </c>
      <c r="B172">
        <v>11</v>
      </c>
    </row>
    <row r="173" spans="1:5" x14ac:dyDescent="0.3">
      <c r="A173">
        <v>8</v>
      </c>
      <c r="B173">
        <v>12</v>
      </c>
    </row>
    <row r="174" spans="1:5" x14ac:dyDescent="0.3">
      <c r="A174">
        <v>8</v>
      </c>
      <c r="B174">
        <v>13</v>
      </c>
    </row>
    <row r="175" spans="1:5" x14ac:dyDescent="0.3">
      <c r="A175">
        <v>8</v>
      </c>
      <c r="B175">
        <v>14</v>
      </c>
    </row>
    <row r="176" spans="1:5" x14ac:dyDescent="0.3">
      <c r="A176">
        <v>8</v>
      </c>
      <c r="B176">
        <v>15</v>
      </c>
    </row>
    <row r="177" spans="1:5" x14ac:dyDescent="0.3">
      <c r="A177">
        <v>8</v>
      </c>
      <c r="B177">
        <v>16</v>
      </c>
    </row>
    <row r="178" spans="1:5" x14ac:dyDescent="0.3">
      <c r="A178">
        <v>8</v>
      </c>
      <c r="B178">
        <v>17</v>
      </c>
    </row>
    <row r="179" spans="1:5" x14ac:dyDescent="0.3">
      <c r="A179">
        <v>8</v>
      </c>
      <c r="B179">
        <v>18</v>
      </c>
    </row>
    <row r="180" spans="1:5" x14ac:dyDescent="0.3">
      <c r="A180">
        <v>8</v>
      </c>
      <c r="B180">
        <v>19</v>
      </c>
    </row>
    <row r="182" spans="1:5" x14ac:dyDescent="0.3">
      <c r="A182">
        <v>9</v>
      </c>
      <c r="B182">
        <v>1</v>
      </c>
      <c r="C182" t="s">
        <v>367</v>
      </c>
      <c r="D182" t="s">
        <v>587</v>
      </c>
      <c r="E182" t="s">
        <v>366</v>
      </c>
    </row>
    <row r="183" spans="1:5" x14ac:dyDescent="0.3">
      <c r="A183">
        <v>9</v>
      </c>
      <c r="B183">
        <v>2</v>
      </c>
      <c r="C183" t="s">
        <v>336</v>
      </c>
      <c r="D183" t="s">
        <v>822</v>
      </c>
      <c r="E183" t="s">
        <v>348</v>
      </c>
    </row>
    <row r="184" spans="1:5" x14ac:dyDescent="0.3">
      <c r="A184">
        <v>9</v>
      </c>
      <c r="B184">
        <v>3</v>
      </c>
      <c r="C184" t="s">
        <v>336</v>
      </c>
      <c r="D184" t="s">
        <v>903</v>
      </c>
      <c r="E184" t="s">
        <v>348</v>
      </c>
    </row>
    <row r="185" spans="1:5" x14ac:dyDescent="0.3">
      <c r="A185">
        <v>9</v>
      </c>
      <c r="B185">
        <v>4</v>
      </c>
      <c r="C185" t="s">
        <v>367</v>
      </c>
      <c r="D185" t="s">
        <v>990</v>
      </c>
      <c r="E185" t="s">
        <v>366</v>
      </c>
    </row>
    <row r="186" spans="1:5" x14ac:dyDescent="0.3">
      <c r="A186">
        <v>9</v>
      </c>
      <c r="B186">
        <v>5</v>
      </c>
      <c r="C186" t="s">
        <v>367</v>
      </c>
      <c r="D186" t="s">
        <v>995</v>
      </c>
      <c r="E186" t="s">
        <v>366</v>
      </c>
    </row>
    <row r="187" spans="1:5" x14ac:dyDescent="0.3">
      <c r="A187">
        <v>9</v>
      </c>
      <c r="B187">
        <v>6</v>
      </c>
    </row>
    <row r="188" spans="1:5" x14ac:dyDescent="0.3">
      <c r="A188">
        <v>9</v>
      </c>
      <c r="B188">
        <v>7</v>
      </c>
    </row>
    <row r="189" spans="1:5" x14ac:dyDescent="0.3">
      <c r="A189">
        <v>9</v>
      </c>
      <c r="B189">
        <v>8</v>
      </c>
    </row>
    <row r="190" spans="1:5" x14ac:dyDescent="0.3">
      <c r="A190">
        <v>9</v>
      </c>
      <c r="B190">
        <v>9</v>
      </c>
      <c r="E190" t="s">
        <v>377</v>
      </c>
    </row>
    <row r="191" spans="1:5" x14ac:dyDescent="0.3">
      <c r="A191">
        <v>9</v>
      </c>
      <c r="B191">
        <v>10</v>
      </c>
      <c r="D191" t="s">
        <v>377</v>
      </c>
    </row>
    <row r="192" spans="1:5" x14ac:dyDescent="0.3">
      <c r="A192">
        <v>9</v>
      </c>
      <c r="B192">
        <v>11</v>
      </c>
    </row>
    <row r="193" spans="1:2" x14ac:dyDescent="0.3">
      <c r="A193">
        <v>9</v>
      </c>
      <c r="B193">
        <v>12</v>
      </c>
    </row>
    <row r="194" spans="1:2" x14ac:dyDescent="0.3">
      <c r="A194">
        <v>9</v>
      </c>
      <c r="B194">
        <v>13</v>
      </c>
    </row>
    <row r="195" spans="1:2" x14ac:dyDescent="0.3">
      <c r="A195">
        <v>9</v>
      </c>
      <c r="B195">
        <v>14</v>
      </c>
    </row>
    <row r="196" spans="1:2" x14ac:dyDescent="0.3">
      <c r="A196">
        <v>9</v>
      </c>
      <c r="B196">
        <v>15</v>
      </c>
    </row>
    <row r="197" spans="1:2" x14ac:dyDescent="0.3">
      <c r="A197">
        <v>9</v>
      </c>
      <c r="B197">
        <v>16</v>
      </c>
    </row>
    <row r="198" spans="1:2" x14ac:dyDescent="0.3">
      <c r="A198">
        <v>9</v>
      </c>
      <c r="B198">
        <v>17</v>
      </c>
    </row>
    <row r="199" spans="1:2" x14ac:dyDescent="0.3">
      <c r="A199">
        <v>9</v>
      </c>
      <c r="B199">
        <v>18</v>
      </c>
    </row>
    <row r="200" spans="1:2" x14ac:dyDescent="0.3">
      <c r="A200">
        <v>9</v>
      </c>
      <c r="B200">
        <v>19</v>
      </c>
    </row>
  </sheetData>
  <mergeCells count="1">
    <mergeCell ref="H24:H25"/>
  </mergeCells>
  <phoneticPr fontId="1" type="noConversion"/>
  <pageMargins left="0.7" right="0.7" top="0.78740157499999996" bottom="0.78740157499999996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0FB1-7DD1-4E21-83BF-00F92B42EB01}">
  <dimension ref="A2:F257"/>
  <sheetViews>
    <sheetView zoomScale="85" zoomScaleNormal="85" workbookViewId="0">
      <selection activeCell="E27" sqref="E27"/>
    </sheetView>
  </sheetViews>
  <sheetFormatPr baseColWidth="10" defaultRowHeight="14.4" x14ac:dyDescent="0.3"/>
  <cols>
    <col min="1" max="1" width="6" style="1" customWidth="1"/>
    <col min="2" max="3" width="11.44140625" style="1"/>
    <col min="4" max="4" width="19" style="1" customWidth="1"/>
    <col min="5" max="5" width="24" style="3" customWidth="1"/>
    <col min="6" max="6" width="20.88671875" bestFit="1" customWidth="1"/>
  </cols>
  <sheetData>
    <row r="2" spans="1:6" x14ac:dyDescent="0.3">
      <c r="A2" s="1" t="s">
        <v>383</v>
      </c>
      <c r="B2" s="1" t="s">
        <v>385</v>
      </c>
      <c r="C2" s="1" t="s">
        <v>376</v>
      </c>
      <c r="D2" s="4" t="s">
        <v>386</v>
      </c>
      <c r="E2" s="3" t="s">
        <v>384</v>
      </c>
    </row>
    <row r="3" spans="1:6" x14ac:dyDescent="0.3">
      <c r="A3" s="1">
        <v>0</v>
      </c>
      <c r="B3" s="1" t="s">
        <v>0</v>
      </c>
      <c r="C3" s="1" t="s">
        <v>230</v>
      </c>
      <c r="D3" s="1" t="s">
        <v>440</v>
      </c>
      <c r="E3" s="3" t="s">
        <v>442</v>
      </c>
      <c r="F3" s="117" t="s">
        <v>233</v>
      </c>
    </row>
    <row r="4" spans="1:6" x14ac:dyDescent="0.3">
      <c r="A4" s="1">
        <v>1</v>
      </c>
      <c r="B4" s="1" t="s">
        <v>1</v>
      </c>
      <c r="C4" s="1" t="s">
        <v>230</v>
      </c>
      <c r="D4" s="1" t="s">
        <v>440</v>
      </c>
      <c r="E4" s="3" t="s">
        <v>441</v>
      </c>
      <c r="F4" s="114"/>
    </row>
    <row r="5" spans="1:6" x14ac:dyDescent="0.3">
      <c r="A5" s="1">
        <v>2</v>
      </c>
      <c r="B5" s="1" t="s">
        <v>2</v>
      </c>
      <c r="C5" s="1" t="s">
        <v>230</v>
      </c>
      <c r="F5" s="114"/>
    </row>
    <row r="6" spans="1:6" x14ac:dyDescent="0.3">
      <c r="A6" s="1">
        <v>3</v>
      </c>
      <c r="B6" s="1" t="s">
        <v>3</v>
      </c>
      <c r="C6" s="1" t="s">
        <v>230</v>
      </c>
      <c r="F6" s="114"/>
    </row>
    <row r="7" spans="1:6" x14ac:dyDescent="0.3">
      <c r="A7" s="1">
        <v>4</v>
      </c>
      <c r="B7" s="1" t="s">
        <v>4</v>
      </c>
      <c r="C7" s="1" t="s">
        <v>230</v>
      </c>
      <c r="F7" s="114"/>
    </row>
    <row r="8" spans="1:6" x14ac:dyDescent="0.3">
      <c r="A8" s="1">
        <v>5</v>
      </c>
      <c r="B8" s="1" t="s">
        <v>5</v>
      </c>
      <c r="C8" s="1" t="s">
        <v>230</v>
      </c>
      <c r="F8" s="114"/>
    </row>
    <row r="9" spans="1:6" x14ac:dyDescent="0.3">
      <c r="A9" s="1">
        <v>6</v>
      </c>
      <c r="B9" s="1" t="s">
        <v>6</v>
      </c>
    </row>
    <row r="10" spans="1:6" x14ac:dyDescent="0.3">
      <c r="A10" s="1">
        <v>7</v>
      </c>
      <c r="B10" s="1" t="s">
        <v>7</v>
      </c>
    </row>
    <row r="11" spans="1:6" x14ac:dyDescent="0.3">
      <c r="A11" s="1">
        <v>8</v>
      </c>
      <c r="B11" s="1" t="s">
        <v>8</v>
      </c>
    </row>
    <row r="12" spans="1:6" x14ac:dyDescent="0.3">
      <c r="A12" s="1">
        <v>9</v>
      </c>
      <c r="B12" s="1" t="s">
        <v>9</v>
      </c>
      <c r="C12" s="1" t="s">
        <v>230</v>
      </c>
      <c r="D12" s="1" t="s">
        <v>440</v>
      </c>
      <c r="E12" s="3" t="s">
        <v>378</v>
      </c>
      <c r="F12" t="s">
        <v>231</v>
      </c>
    </row>
    <row r="13" spans="1:6" x14ac:dyDescent="0.3">
      <c r="A13" s="1">
        <v>10</v>
      </c>
      <c r="B13" s="1" t="s">
        <v>10</v>
      </c>
      <c r="C13" s="1" t="s">
        <v>230</v>
      </c>
      <c r="E13" s="3" t="s">
        <v>379</v>
      </c>
      <c r="F13" t="s">
        <v>232</v>
      </c>
    </row>
    <row r="14" spans="1:6" x14ac:dyDescent="0.3">
      <c r="A14" s="1">
        <v>11</v>
      </c>
      <c r="B14" s="1" t="s">
        <v>12</v>
      </c>
      <c r="C14" s="1" t="s">
        <v>230</v>
      </c>
      <c r="D14" s="1" t="s">
        <v>440</v>
      </c>
      <c r="E14" s="3" t="s">
        <v>380</v>
      </c>
    </row>
    <row r="15" spans="1:6" x14ac:dyDescent="0.3">
      <c r="A15" s="1">
        <v>12</v>
      </c>
      <c r="B15" s="1" t="s">
        <v>14</v>
      </c>
      <c r="C15" s="1" t="s">
        <v>230</v>
      </c>
      <c r="F15" s="114" t="s">
        <v>361</v>
      </c>
    </row>
    <row r="16" spans="1:6" x14ac:dyDescent="0.3">
      <c r="A16" s="1">
        <v>13</v>
      </c>
      <c r="B16" s="1" t="s">
        <v>15</v>
      </c>
      <c r="C16" s="1" t="s">
        <v>230</v>
      </c>
      <c r="F16" s="114"/>
    </row>
    <row r="17" spans="1:6" x14ac:dyDescent="0.3">
      <c r="A17" s="1">
        <v>14</v>
      </c>
      <c r="B17" s="1" t="s">
        <v>16</v>
      </c>
      <c r="C17" s="1" t="s">
        <v>230</v>
      </c>
      <c r="F17" s="114"/>
    </row>
    <row r="18" spans="1:6" x14ac:dyDescent="0.3">
      <c r="A18" s="1">
        <v>15</v>
      </c>
      <c r="B18" s="1" t="s">
        <v>17</v>
      </c>
      <c r="C18" s="1" t="s">
        <v>230</v>
      </c>
      <c r="F18" s="114"/>
    </row>
    <row r="19" spans="1:6" x14ac:dyDescent="0.3">
      <c r="A19" s="1">
        <v>16</v>
      </c>
      <c r="B19" s="1" t="s">
        <v>18</v>
      </c>
      <c r="C19" s="1" t="s">
        <v>230</v>
      </c>
      <c r="F19" s="114"/>
    </row>
    <row r="20" spans="1:6" x14ac:dyDescent="0.3">
      <c r="A20" s="1">
        <v>17</v>
      </c>
      <c r="B20" s="1" t="s">
        <v>19</v>
      </c>
      <c r="C20" s="1" t="s">
        <v>230</v>
      </c>
      <c r="F20" s="114"/>
    </row>
    <row r="21" spans="1:6" x14ac:dyDescent="0.3">
      <c r="A21" s="1">
        <v>18</v>
      </c>
      <c r="B21" s="1" t="s">
        <v>20</v>
      </c>
      <c r="C21" s="1" t="s">
        <v>230</v>
      </c>
      <c r="F21" s="114"/>
    </row>
    <row r="22" spans="1:6" x14ac:dyDescent="0.3">
      <c r="A22" s="1">
        <v>19</v>
      </c>
      <c r="B22" s="1" t="s">
        <v>21</v>
      </c>
      <c r="C22" s="1" t="s">
        <v>230</v>
      </c>
      <c r="F22" s="114"/>
    </row>
    <row r="23" spans="1:6" x14ac:dyDescent="0.3">
      <c r="A23" s="1">
        <v>20</v>
      </c>
      <c r="B23" s="1" t="s">
        <v>22</v>
      </c>
      <c r="C23" s="1" t="s">
        <v>230</v>
      </c>
      <c r="F23" s="114"/>
    </row>
    <row r="24" spans="1:6" x14ac:dyDescent="0.3">
      <c r="A24" s="1">
        <v>21</v>
      </c>
      <c r="B24" s="1" t="s">
        <v>33</v>
      </c>
      <c r="C24" s="1" t="s">
        <v>230</v>
      </c>
      <c r="F24" s="114"/>
    </row>
    <row r="25" spans="1:6" x14ac:dyDescent="0.3">
      <c r="A25" s="1">
        <v>22</v>
      </c>
      <c r="B25" s="1" t="s">
        <v>34</v>
      </c>
      <c r="C25" s="1" t="s">
        <v>230</v>
      </c>
      <c r="F25" s="114"/>
    </row>
    <row r="26" spans="1:6" x14ac:dyDescent="0.3">
      <c r="A26" s="1">
        <v>23</v>
      </c>
      <c r="B26" s="1" t="s">
        <v>23</v>
      </c>
      <c r="C26" s="1" t="s">
        <v>230</v>
      </c>
      <c r="F26" s="114"/>
    </row>
    <row r="27" spans="1:6" x14ac:dyDescent="0.3">
      <c r="A27" s="1">
        <v>24</v>
      </c>
      <c r="B27" s="1" t="s">
        <v>24</v>
      </c>
      <c r="C27" s="1" t="s">
        <v>230</v>
      </c>
      <c r="F27" s="114"/>
    </row>
    <row r="28" spans="1:6" x14ac:dyDescent="0.3">
      <c r="A28" s="1">
        <v>25</v>
      </c>
      <c r="B28" s="1" t="s">
        <v>25</v>
      </c>
      <c r="C28" s="1" t="s">
        <v>230</v>
      </c>
      <c r="F28" s="114"/>
    </row>
    <row r="29" spans="1:6" x14ac:dyDescent="0.3">
      <c r="A29" s="1">
        <v>26</v>
      </c>
      <c r="B29" s="1" t="s">
        <v>26</v>
      </c>
      <c r="C29" s="1" t="s">
        <v>230</v>
      </c>
      <c r="F29" s="114"/>
    </row>
    <row r="30" spans="1:6" x14ac:dyDescent="0.3">
      <c r="A30" s="1">
        <v>27</v>
      </c>
      <c r="B30" s="1" t="s">
        <v>27</v>
      </c>
      <c r="C30" s="1" t="s">
        <v>230</v>
      </c>
      <c r="F30" s="114"/>
    </row>
    <row r="31" spans="1:6" x14ac:dyDescent="0.3">
      <c r="A31" s="1">
        <v>28</v>
      </c>
      <c r="B31" s="1" t="s">
        <v>28</v>
      </c>
      <c r="C31" s="1" t="s">
        <v>230</v>
      </c>
      <c r="F31" s="114"/>
    </row>
    <row r="32" spans="1:6" x14ac:dyDescent="0.3">
      <c r="A32" s="1">
        <v>29</v>
      </c>
      <c r="B32" s="1" t="s">
        <v>29</v>
      </c>
      <c r="C32" s="1" t="s">
        <v>230</v>
      </c>
      <c r="F32" s="114"/>
    </row>
    <row r="33" spans="1:6" x14ac:dyDescent="0.3">
      <c r="A33" s="1">
        <v>30</v>
      </c>
      <c r="B33" s="1" t="s">
        <v>30</v>
      </c>
      <c r="C33" s="1" t="s">
        <v>230</v>
      </c>
      <c r="F33" s="114"/>
    </row>
    <row r="34" spans="1:6" x14ac:dyDescent="0.3">
      <c r="A34" s="1">
        <v>31</v>
      </c>
      <c r="B34" s="1" t="s">
        <v>31</v>
      </c>
      <c r="C34" s="1" t="s">
        <v>230</v>
      </c>
      <c r="F34" s="114"/>
    </row>
    <row r="35" spans="1:6" x14ac:dyDescent="0.3">
      <c r="A35" s="1">
        <v>32</v>
      </c>
      <c r="B35" s="1" t="s">
        <v>32</v>
      </c>
      <c r="C35" s="1" t="s">
        <v>230</v>
      </c>
      <c r="F35" s="114"/>
    </row>
    <row r="36" spans="1:6" x14ac:dyDescent="0.3">
      <c r="A36" s="1">
        <v>33</v>
      </c>
      <c r="B36" s="1" t="s">
        <v>35</v>
      </c>
      <c r="C36" s="1" t="s">
        <v>230</v>
      </c>
      <c r="F36" s="114"/>
    </row>
    <row r="37" spans="1:6" x14ac:dyDescent="0.3">
      <c r="A37" s="1">
        <v>34</v>
      </c>
      <c r="B37" s="1" t="s">
        <v>36</v>
      </c>
      <c r="C37" s="1" t="s">
        <v>230</v>
      </c>
      <c r="F37" s="114"/>
    </row>
    <row r="38" spans="1:6" x14ac:dyDescent="0.3">
      <c r="A38" s="1">
        <v>35</v>
      </c>
      <c r="B38" s="1" t="s">
        <v>37</v>
      </c>
      <c r="C38" s="1" t="s">
        <v>230</v>
      </c>
      <c r="F38" s="114"/>
    </row>
    <row r="39" spans="1:6" x14ac:dyDescent="0.3">
      <c r="A39" s="1">
        <v>36</v>
      </c>
      <c r="B39" s="1" t="s">
        <v>38</v>
      </c>
      <c r="C39" s="1" t="s">
        <v>230</v>
      </c>
      <c r="F39" s="114"/>
    </row>
    <row r="40" spans="1:6" x14ac:dyDescent="0.3">
      <c r="A40" s="1">
        <v>37</v>
      </c>
      <c r="B40" s="1" t="s">
        <v>39</v>
      </c>
      <c r="C40" s="1" t="s">
        <v>230</v>
      </c>
      <c r="F40" s="114" t="s">
        <v>372</v>
      </c>
    </row>
    <row r="41" spans="1:6" x14ac:dyDescent="0.3">
      <c r="A41" s="1">
        <v>38</v>
      </c>
      <c r="B41" s="1" t="s">
        <v>40</v>
      </c>
      <c r="C41" s="1" t="s">
        <v>230</v>
      </c>
      <c r="F41" s="114"/>
    </row>
    <row r="42" spans="1:6" x14ac:dyDescent="0.3">
      <c r="A42" s="1">
        <v>39</v>
      </c>
      <c r="B42" s="1" t="s">
        <v>41</v>
      </c>
      <c r="C42" s="1" t="s">
        <v>230</v>
      </c>
      <c r="F42" s="114"/>
    </row>
    <row r="43" spans="1:6" x14ac:dyDescent="0.3">
      <c r="A43" s="1">
        <v>40</v>
      </c>
      <c r="B43" s="1" t="s">
        <v>42</v>
      </c>
    </row>
    <row r="44" spans="1:6" x14ac:dyDescent="0.3">
      <c r="A44" s="1">
        <v>41</v>
      </c>
      <c r="B44" s="1" t="s">
        <v>43</v>
      </c>
      <c r="C44" s="1" t="s">
        <v>230</v>
      </c>
      <c r="F44" s="114" t="s">
        <v>371</v>
      </c>
    </row>
    <row r="45" spans="1:6" x14ac:dyDescent="0.3">
      <c r="A45" s="1">
        <v>42</v>
      </c>
      <c r="B45" s="1" t="s">
        <v>44</v>
      </c>
      <c r="C45" s="1" t="s">
        <v>230</v>
      </c>
      <c r="F45" s="114"/>
    </row>
    <row r="46" spans="1:6" x14ac:dyDescent="0.3">
      <c r="A46" s="1">
        <v>43</v>
      </c>
      <c r="B46" s="1" t="s">
        <v>45</v>
      </c>
      <c r="C46" s="1" t="s">
        <v>230</v>
      </c>
      <c r="F46" s="114"/>
    </row>
    <row r="47" spans="1:6" x14ac:dyDescent="0.3">
      <c r="A47" s="1">
        <v>44</v>
      </c>
      <c r="B47" s="1" t="s">
        <v>46</v>
      </c>
      <c r="C47" s="1" t="s">
        <v>230</v>
      </c>
      <c r="E47" s="3" t="s">
        <v>345</v>
      </c>
      <c r="F47" s="114" t="s">
        <v>229</v>
      </c>
    </row>
    <row r="48" spans="1:6" x14ac:dyDescent="0.3">
      <c r="A48" s="1">
        <v>45</v>
      </c>
      <c r="B48" s="1" t="s">
        <v>47</v>
      </c>
      <c r="C48" s="1" t="s">
        <v>230</v>
      </c>
      <c r="E48" s="3" t="s">
        <v>345</v>
      </c>
      <c r="F48" s="114"/>
    </row>
    <row r="49" spans="1:6" x14ac:dyDescent="0.3">
      <c r="A49" s="1">
        <v>46</v>
      </c>
      <c r="B49" s="1" t="s">
        <v>48</v>
      </c>
      <c r="C49" s="1" t="s">
        <v>230</v>
      </c>
      <c r="D49" s="1" t="s">
        <v>440</v>
      </c>
      <c r="E49" s="3" t="s">
        <v>345</v>
      </c>
      <c r="F49" s="114"/>
    </row>
    <row r="50" spans="1:6" x14ac:dyDescent="0.3">
      <c r="A50" s="1">
        <v>47</v>
      </c>
      <c r="B50" s="1" t="s">
        <v>49</v>
      </c>
    </row>
    <row r="51" spans="1:6" x14ac:dyDescent="0.3">
      <c r="A51" s="1">
        <v>48</v>
      </c>
      <c r="B51" s="1" t="s">
        <v>50</v>
      </c>
    </row>
    <row r="52" spans="1:6" x14ac:dyDescent="0.3">
      <c r="A52" s="1">
        <v>49</v>
      </c>
      <c r="B52" s="1" t="s">
        <v>51</v>
      </c>
    </row>
    <row r="53" spans="1:6" x14ac:dyDescent="0.3">
      <c r="A53" s="1">
        <v>50</v>
      </c>
      <c r="B53" s="1" t="s">
        <v>52</v>
      </c>
    </row>
    <row r="54" spans="1:6" x14ac:dyDescent="0.3">
      <c r="A54" s="1">
        <v>51</v>
      </c>
      <c r="B54" s="1" t="s">
        <v>53</v>
      </c>
    </row>
    <row r="55" spans="1:6" x14ac:dyDescent="0.3">
      <c r="A55" s="1">
        <v>52</v>
      </c>
      <c r="B55" s="1" t="s">
        <v>54</v>
      </c>
    </row>
    <row r="56" spans="1:6" x14ac:dyDescent="0.3">
      <c r="A56" s="1">
        <v>53</v>
      </c>
      <c r="B56" s="1" t="s">
        <v>55</v>
      </c>
    </row>
    <row r="57" spans="1:6" x14ac:dyDescent="0.3">
      <c r="A57" s="1">
        <v>54</v>
      </c>
      <c r="B57" s="1" t="s">
        <v>56</v>
      </c>
    </row>
    <row r="58" spans="1:6" x14ac:dyDescent="0.3">
      <c r="A58" s="1">
        <v>55</v>
      </c>
      <c r="B58" s="1" t="s">
        <v>57</v>
      </c>
    </row>
    <row r="59" spans="1:6" x14ac:dyDescent="0.3">
      <c r="A59" s="1">
        <v>56</v>
      </c>
      <c r="B59" s="1" t="s">
        <v>58</v>
      </c>
    </row>
    <row r="60" spans="1:6" x14ac:dyDescent="0.3">
      <c r="A60" s="1">
        <v>57</v>
      </c>
      <c r="B60" s="1" t="s">
        <v>59</v>
      </c>
    </row>
    <row r="61" spans="1:6" x14ac:dyDescent="0.3">
      <c r="A61" s="1">
        <v>58</v>
      </c>
      <c r="B61" s="1" t="s">
        <v>60</v>
      </c>
    </row>
    <row r="62" spans="1:6" x14ac:dyDescent="0.3">
      <c r="A62" s="1">
        <v>59</v>
      </c>
      <c r="B62" s="1" t="s">
        <v>61</v>
      </c>
    </row>
    <row r="63" spans="1:6" x14ac:dyDescent="0.3">
      <c r="A63" s="1">
        <v>60</v>
      </c>
      <c r="B63" s="1" t="s">
        <v>62</v>
      </c>
    </row>
    <row r="64" spans="1:6" x14ac:dyDescent="0.3">
      <c r="A64" s="1">
        <v>61</v>
      </c>
      <c r="B64" s="1" t="s">
        <v>63</v>
      </c>
    </row>
    <row r="65" spans="1:2" x14ac:dyDescent="0.3">
      <c r="A65" s="1">
        <v>62</v>
      </c>
      <c r="B65" s="1" t="s">
        <v>64</v>
      </c>
    </row>
    <row r="66" spans="1:2" x14ac:dyDescent="0.3">
      <c r="A66" s="1">
        <v>63</v>
      </c>
      <c r="B66" s="1" t="s">
        <v>65</v>
      </c>
    </row>
    <row r="67" spans="1:2" x14ac:dyDescent="0.3">
      <c r="A67" s="1">
        <v>64</v>
      </c>
      <c r="B67" s="1" t="s">
        <v>66</v>
      </c>
    </row>
    <row r="68" spans="1:2" x14ac:dyDescent="0.3">
      <c r="A68" s="1">
        <v>65</v>
      </c>
      <c r="B68" s="1" t="s">
        <v>67</v>
      </c>
    </row>
    <row r="69" spans="1:2" x14ac:dyDescent="0.3">
      <c r="A69" s="1">
        <v>66</v>
      </c>
      <c r="B69" s="1" t="s">
        <v>68</v>
      </c>
    </row>
    <row r="70" spans="1:2" x14ac:dyDescent="0.3">
      <c r="A70" s="1">
        <v>67</v>
      </c>
      <c r="B70" s="1" t="s">
        <v>69</v>
      </c>
    </row>
    <row r="71" spans="1:2" x14ac:dyDescent="0.3">
      <c r="A71" s="1">
        <v>68</v>
      </c>
      <c r="B71" s="1" t="s">
        <v>70</v>
      </c>
    </row>
    <row r="72" spans="1:2" x14ac:dyDescent="0.3">
      <c r="A72" s="1">
        <v>69</v>
      </c>
      <c r="B72" s="1" t="s">
        <v>80</v>
      </c>
    </row>
    <row r="73" spans="1:2" x14ac:dyDescent="0.3">
      <c r="A73" s="1">
        <v>70</v>
      </c>
      <c r="B73" s="1" t="s">
        <v>81</v>
      </c>
    </row>
    <row r="74" spans="1:2" x14ac:dyDescent="0.3">
      <c r="A74" s="1">
        <v>71</v>
      </c>
      <c r="B74" s="1" t="s">
        <v>82</v>
      </c>
    </row>
    <row r="75" spans="1:2" x14ac:dyDescent="0.3">
      <c r="A75" s="1">
        <v>72</v>
      </c>
      <c r="B75" s="1" t="s">
        <v>83</v>
      </c>
    </row>
    <row r="76" spans="1:2" x14ac:dyDescent="0.3">
      <c r="A76" s="1">
        <v>73</v>
      </c>
      <c r="B76" s="1" t="s">
        <v>71</v>
      </c>
    </row>
    <row r="77" spans="1:2" x14ac:dyDescent="0.3">
      <c r="A77" s="1">
        <v>74</v>
      </c>
      <c r="B77" s="1" t="s">
        <v>72</v>
      </c>
    </row>
    <row r="78" spans="1:2" x14ac:dyDescent="0.3">
      <c r="A78" s="1">
        <v>75</v>
      </c>
      <c r="B78" s="1" t="s">
        <v>73</v>
      </c>
    </row>
    <row r="79" spans="1:2" x14ac:dyDescent="0.3">
      <c r="A79" s="1">
        <v>76</v>
      </c>
      <c r="B79" s="1" t="s">
        <v>74</v>
      </c>
    </row>
    <row r="80" spans="1:2" x14ac:dyDescent="0.3">
      <c r="A80" s="1">
        <v>77</v>
      </c>
      <c r="B80" s="1" t="s">
        <v>75</v>
      </c>
    </row>
    <row r="81" spans="1:2" x14ac:dyDescent="0.3">
      <c r="A81" s="1">
        <v>78</v>
      </c>
      <c r="B81" s="1" t="s">
        <v>76</v>
      </c>
    </row>
    <row r="82" spans="1:2" x14ac:dyDescent="0.3">
      <c r="A82" s="1">
        <v>79</v>
      </c>
      <c r="B82" s="1" t="s">
        <v>77</v>
      </c>
    </row>
    <row r="83" spans="1:2" x14ac:dyDescent="0.3">
      <c r="A83" s="1">
        <v>80</v>
      </c>
      <c r="B83" s="1" t="s">
        <v>78</v>
      </c>
    </row>
    <row r="84" spans="1:2" x14ac:dyDescent="0.3">
      <c r="A84" s="1">
        <v>81</v>
      </c>
      <c r="B84" s="1" t="s">
        <v>79</v>
      </c>
    </row>
    <row r="85" spans="1:2" x14ac:dyDescent="0.3">
      <c r="A85" s="1">
        <v>82</v>
      </c>
      <c r="B85" s="1" t="s">
        <v>84</v>
      </c>
    </row>
    <row r="86" spans="1:2" x14ac:dyDescent="0.3">
      <c r="A86" s="1">
        <v>83</v>
      </c>
      <c r="B86" s="1" t="s">
        <v>87</v>
      </c>
    </row>
    <row r="87" spans="1:2" x14ac:dyDescent="0.3">
      <c r="A87" s="1">
        <v>84</v>
      </c>
      <c r="B87" s="1" t="s">
        <v>88</v>
      </c>
    </row>
    <row r="88" spans="1:2" x14ac:dyDescent="0.3">
      <c r="A88" s="1">
        <v>85</v>
      </c>
      <c r="B88" s="1" t="s">
        <v>89</v>
      </c>
    </row>
    <row r="89" spans="1:2" x14ac:dyDescent="0.3">
      <c r="A89" s="1">
        <v>86</v>
      </c>
      <c r="B89" s="1" t="s">
        <v>90</v>
      </c>
    </row>
    <row r="90" spans="1:2" x14ac:dyDescent="0.3">
      <c r="A90" s="1">
        <v>87</v>
      </c>
      <c r="B90" s="1" t="s">
        <v>91</v>
      </c>
    </row>
    <row r="91" spans="1:2" x14ac:dyDescent="0.3">
      <c r="A91" s="1">
        <v>88</v>
      </c>
      <c r="B91" s="1" t="s">
        <v>92</v>
      </c>
    </row>
    <row r="92" spans="1:2" x14ac:dyDescent="0.3">
      <c r="A92" s="1">
        <v>89</v>
      </c>
      <c r="B92" s="1" t="s">
        <v>85</v>
      </c>
    </row>
    <row r="93" spans="1:2" x14ac:dyDescent="0.3">
      <c r="A93" s="1">
        <v>90</v>
      </c>
      <c r="B93" s="1" t="s">
        <v>86</v>
      </c>
    </row>
    <row r="94" spans="1:2" x14ac:dyDescent="0.3">
      <c r="A94" s="1">
        <v>91</v>
      </c>
      <c r="B94" s="1" t="s">
        <v>93</v>
      </c>
    </row>
    <row r="95" spans="1:2" x14ac:dyDescent="0.3">
      <c r="A95" s="1">
        <v>92</v>
      </c>
      <c r="B95" s="1" t="s">
        <v>94</v>
      </c>
    </row>
    <row r="96" spans="1:2" x14ac:dyDescent="0.3">
      <c r="A96" s="1">
        <v>93</v>
      </c>
      <c r="B96" s="1" t="s">
        <v>95</v>
      </c>
    </row>
    <row r="97" spans="1:2" x14ac:dyDescent="0.3">
      <c r="A97" s="1">
        <v>94</v>
      </c>
      <c r="B97" s="1" t="s">
        <v>96</v>
      </c>
    </row>
    <row r="98" spans="1:2" x14ac:dyDescent="0.3">
      <c r="A98" s="1">
        <v>95</v>
      </c>
      <c r="B98" s="1" t="s">
        <v>97</v>
      </c>
    </row>
    <row r="99" spans="1:2" x14ac:dyDescent="0.3">
      <c r="A99" s="1">
        <v>96</v>
      </c>
      <c r="B99" s="1" t="s">
        <v>98</v>
      </c>
    </row>
    <row r="100" spans="1:2" x14ac:dyDescent="0.3">
      <c r="A100" s="1">
        <v>97</v>
      </c>
      <c r="B100" s="1" t="s">
        <v>99</v>
      </c>
    </row>
    <row r="101" spans="1:2" x14ac:dyDescent="0.3">
      <c r="A101" s="1">
        <v>98</v>
      </c>
      <c r="B101" s="1" t="s">
        <v>100</v>
      </c>
    </row>
    <row r="102" spans="1:2" x14ac:dyDescent="0.3">
      <c r="A102" s="1">
        <v>99</v>
      </c>
      <c r="B102" s="1" t="s">
        <v>101</v>
      </c>
    </row>
    <row r="103" spans="1:2" x14ac:dyDescent="0.3">
      <c r="A103" s="1">
        <v>100</v>
      </c>
      <c r="B103" s="1" t="s">
        <v>102</v>
      </c>
    </row>
    <row r="104" spans="1:2" x14ac:dyDescent="0.3">
      <c r="A104" s="1">
        <v>101</v>
      </c>
      <c r="B104" s="1" t="s">
        <v>103</v>
      </c>
    </row>
    <row r="105" spans="1:2" x14ac:dyDescent="0.3">
      <c r="A105" s="1">
        <v>102</v>
      </c>
      <c r="B105" s="1" t="s">
        <v>104</v>
      </c>
    </row>
    <row r="106" spans="1:2" x14ac:dyDescent="0.3">
      <c r="A106" s="1">
        <v>103</v>
      </c>
      <c r="B106" s="1" t="s">
        <v>105</v>
      </c>
    </row>
    <row r="107" spans="1:2" x14ac:dyDescent="0.3">
      <c r="A107" s="1">
        <v>104</v>
      </c>
      <c r="B107" s="1" t="s">
        <v>106</v>
      </c>
    </row>
    <row r="108" spans="1:2" x14ac:dyDescent="0.3">
      <c r="A108" s="1">
        <v>105</v>
      </c>
      <c r="B108" s="1" t="s">
        <v>107</v>
      </c>
    </row>
    <row r="109" spans="1:2" x14ac:dyDescent="0.3">
      <c r="A109" s="1">
        <v>106</v>
      </c>
      <c r="B109" s="1" t="s">
        <v>108</v>
      </c>
    </row>
    <row r="110" spans="1:2" x14ac:dyDescent="0.3">
      <c r="A110" s="1">
        <v>107</v>
      </c>
      <c r="B110" s="1" t="s">
        <v>109</v>
      </c>
    </row>
    <row r="111" spans="1:2" x14ac:dyDescent="0.3">
      <c r="A111" s="1">
        <v>108</v>
      </c>
      <c r="B111" s="1" t="s">
        <v>110</v>
      </c>
    </row>
    <row r="112" spans="1:2" x14ac:dyDescent="0.3">
      <c r="A112" s="1">
        <v>109</v>
      </c>
      <c r="B112" s="1" t="s">
        <v>111</v>
      </c>
    </row>
    <row r="113" spans="1:2" x14ac:dyDescent="0.3">
      <c r="A113" s="1">
        <v>110</v>
      </c>
      <c r="B113" s="1" t="s">
        <v>112</v>
      </c>
    </row>
    <row r="114" spans="1:2" x14ac:dyDescent="0.3">
      <c r="A114" s="1">
        <v>111</v>
      </c>
      <c r="B114" s="1" t="s">
        <v>113</v>
      </c>
    </row>
    <row r="115" spans="1:2" x14ac:dyDescent="0.3">
      <c r="A115" s="1">
        <v>112</v>
      </c>
      <c r="B115" s="1" t="s">
        <v>114</v>
      </c>
    </row>
    <row r="116" spans="1:2" x14ac:dyDescent="0.3">
      <c r="A116" s="1">
        <v>113</v>
      </c>
      <c r="B116" s="1" t="s">
        <v>115</v>
      </c>
    </row>
    <row r="117" spans="1:2" x14ac:dyDescent="0.3">
      <c r="A117" s="1">
        <v>114</v>
      </c>
      <c r="B117" s="1" t="s">
        <v>116</v>
      </c>
    </row>
    <row r="118" spans="1:2" x14ac:dyDescent="0.3">
      <c r="A118" s="1">
        <v>115</v>
      </c>
      <c r="B118" s="1" t="s">
        <v>117</v>
      </c>
    </row>
    <row r="119" spans="1:2" x14ac:dyDescent="0.3">
      <c r="A119" s="1">
        <v>116</v>
      </c>
      <c r="B119" s="1" t="s">
        <v>118</v>
      </c>
    </row>
    <row r="120" spans="1:2" x14ac:dyDescent="0.3">
      <c r="A120" s="1">
        <v>117</v>
      </c>
      <c r="B120" s="1" t="s">
        <v>119</v>
      </c>
    </row>
    <row r="121" spans="1:2" x14ac:dyDescent="0.3">
      <c r="A121" s="1">
        <v>118</v>
      </c>
      <c r="B121" s="1" t="s">
        <v>120</v>
      </c>
    </row>
    <row r="122" spans="1:2" x14ac:dyDescent="0.3">
      <c r="A122" s="1">
        <v>119</v>
      </c>
      <c r="B122" s="1" t="s">
        <v>121</v>
      </c>
    </row>
    <row r="123" spans="1:2" x14ac:dyDescent="0.3">
      <c r="A123" s="1">
        <v>120</v>
      </c>
      <c r="B123" s="1" t="s">
        <v>122</v>
      </c>
    </row>
    <row r="124" spans="1:2" x14ac:dyDescent="0.3">
      <c r="A124" s="1">
        <v>121</v>
      </c>
      <c r="B124" s="1" t="s">
        <v>123</v>
      </c>
    </row>
    <row r="125" spans="1:2" x14ac:dyDescent="0.3">
      <c r="A125" s="1">
        <v>122</v>
      </c>
      <c r="B125" s="1" t="s">
        <v>124</v>
      </c>
    </row>
    <row r="126" spans="1:2" x14ac:dyDescent="0.3">
      <c r="A126" s="1">
        <v>123</v>
      </c>
      <c r="B126" s="1" t="s">
        <v>125</v>
      </c>
    </row>
    <row r="127" spans="1:2" x14ac:dyDescent="0.3">
      <c r="A127" s="1">
        <v>124</v>
      </c>
      <c r="B127" s="1" t="s">
        <v>126</v>
      </c>
    </row>
    <row r="128" spans="1:2" x14ac:dyDescent="0.3">
      <c r="A128" s="1">
        <v>125</v>
      </c>
      <c r="B128" s="1" t="s">
        <v>127</v>
      </c>
    </row>
    <row r="129" spans="1:2" x14ac:dyDescent="0.3">
      <c r="A129" s="1">
        <v>126</v>
      </c>
      <c r="B129" s="1" t="s">
        <v>128</v>
      </c>
    </row>
    <row r="130" spans="1:2" x14ac:dyDescent="0.3">
      <c r="A130" s="1">
        <v>127</v>
      </c>
      <c r="B130" s="1" t="s">
        <v>129</v>
      </c>
    </row>
    <row r="131" spans="1:2" x14ac:dyDescent="0.3">
      <c r="A131" s="1">
        <v>128</v>
      </c>
      <c r="B131" s="1" t="s">
        <v>130</v>
      </c>
    </row>
    <row r="132" spans="1:2" x14ac:dyDescent="0.3">
      <c r="A132" s="1">
        <v>129</v>
      </c>
      <c r="B132" s="1" t="s">
        <v>131</v>
      </c>
    </row>
    <row r="133" spans="1:2" x14ac:dyDescent="0.3">
      <c r="A133" s="1">
        <v>130</v>
      </c>
      <c r="B133" s="1" t="s">
        <v>132</v>
      </c>
    </row>
    <row r="134" spans="1:2" x14ac:dyDescent="0.3">
      <c r="A134" s="1">
        <v>131</v>
      </c>
      <c r="B134" s="1" t="s">
        <v>133</v>
      </c>
    </row>
    <row r="135" spans="1:2" x14ac:dyDescent="0.3">
      <c r="A135" s="1">
        <v>132</v>
      </c>
      <c r="B135" s="1" t="s">
        <v>134</v>
      </c>
    </row>
    <row r="136" spans="1:2" x14ac:dyDescent="0.3">
      <c r="A136" s="1">
        <v>133</v>
      </c>
      <c r="B136" s="1" t="s">
        <v>135</v>
      </c>
    </row>
    <row r="137" spans="1:2" x14ac:dyDescent="0.3">
      <c r="A137" s="1">
        <v>134</v>
      </c>
      <c r="B137" s="1" t="s">
        <v>136</v>
      </c>
    </row>
    <row r="138" spans="1:2" x14ac:dyDescent="0.3">
      <c r="A138" s="1">
        <v>135</v>
      </c>
      <c r="B138" s="1" t="s">
        <v>137</v>
      </c>
    </row>
    <row r="139" spans="1:2" x14ac:dyDescent="0.3">
      <c r="A139" s="1">
        <v>136</v>
      </c>
      <c r="B139" s="1" t="s">
        <v>138</v>
      </c>
    </row>
    <row r="140" spans="1:2" x14ac:dyDescent="0.3">
      <c r="A140" s="1">
        <v>137</v>
      </c>
      <c r="B140" s="1" t="s">
        <v>139</v>
      </c>
    </row>
    <row r="141" spans="1:2" x14ac:dyDescent="0.3">
      <c r="A141" s="1">
        <v>138</v>
      </c>
      <c r="B141" s="1" t="s">
        <v>140</v>
      </c>
    </row>
    <row r="142" spans="1:2" x14ac:dyDescent="0.3">
      <c r="A142" s="1">
        <v>139</v>
      </c>
      <c r="B142" s="1" t="s">
        <v>141</v>
      </c>
    </row>
    <row r="143" spans="1:2" x14ac:dyDescent="0.3">
      <c r="A143" s="1">
        <v>140</v>
      </c>
      <c r="B143" s="1" t="s">
        <v>142</v>
      </c>
    </row>
    <row r="144" spans="1:2" x14ac:dyDescent="0.3">
      <c r="A144" s="1">
        <v>141</v>
      </c>
      <c r="B144" s="1" t="s">
        <v>143</v>
      </c>
    </row>
    <row r="145" spans="1:5" x14ac:dyDescent="0.3">
      <c r="A145" s="1">
        <v>142</v>
      </c>
      <c r="B145" s="1" t="s">
        <v>144</v>
      </c>
    </row>
    <row r="146" spans="1:5" x14ac:dyDescent="0.3">
      <c r="A146" s="1">
        <v>143</v>
      </c>
      <c r="B146" s="1" t="s">
        <v>147</v>
      </c>
    </row>
    <row r="147" spans="1:5" x14ac:dyDescent="0.3">
      <c r="A147" s="1">
        <v>144</v>
      </c>
      <c r="B147" s="1" t="s">
        <v>148</v>
      </c>
    </row>
    <row r="148" spans="1:5" x14ac:dyDescent="0.3">
      <c r="A148" s="1">
        <v>145</v>
      </c>
      <c r="B148" s="1" t="s">
        <v>150</v>
      </c>
    </row>
    <row r="149" spans="1:5" x14ac:dyDescent="0.3">
      <c r="A149" s="1">
        <v>146</v>
      </c>
      <c r="B149" s="1" t="s">
        <v>151</v>
      </c>
    </row>
    <row r="150" spans="1:5" x14ac:dyDescent="0.3">
      <c r="A150" s="1">
        <v>147</v>
      </c>
      <c r="B150" s="1" t="s">
        <v>152</v>
      </c>
    </row>
    <row r="151" spans="1:5" x14ac:dyDescent="0.3">
      <c r="A151" s="1">
        <v>148</v>
      </c>
      <c r="B151" s="1" t="s">
        <v>153</v>
      </c>
    </row>
    <row r="152" spans="1:5" x14ac:dyDescent="0.3">
      <c r="A152" s="1">
        <v>149</v>
      </c>
      <c r="B152" s="1" t="s">
        <v>145</v>
      </c>
    </row>
    <row r="153" spans="1:5" x14ac:dyDescent="0.3">
      <c r="A153" s="1">
        <v>150</v>
      </c>
      <c r="B153" s="1" t="s">
        <v>146</v>
      </c>
    </row>
    <row r="154" spans="1:5" x14ac:dyDescent="0.3">
      <c r="A154" s="1">
        <v>151</v>
      </c>
      <c r="B154" s="1" t="s">
        <v>149</v>
      </c>
      <c r="C154" s="1" t="s">
        <v>230</v>
      </c>
      <c r="D154" s="1" t="s">
        <v>440</v>
      </c>
      <c r="E154" s="3" t="s">
        <v>381</v>
      </c>
    </row>
    <row r="155" spans="1:5" x14ac:dyDescent="0.3">
      <c r="A155" s="1">
        <v>152</v>
      </c>
      <c r="B155" s="1" t="s">
        <v>154</v>
      </c>
    </row>
    <row r="156" spans="1:5" x14ac:dyDescent="0.3">
      <c r="A156" s="1">
        <v>153</v>
      </c>
      <c r="B156" s="1" t="s">
        <v>155</v>
      </c>
    </row>
    <row r="157" spans="1:5" x14ac:dyDescent="0.3">
      <c r="A157" s="1">
        <v>154</v>
      </c>
      <c r="B157" s="1" t="s">
        <v>156</v>
      </c>
    </row>
    <row r="158" spans="1:5" x14ac:dyDescent="0.3">
      <c r="A158" s="1">
        <v>155</v>
      </c>
      <c r="B158" s="1" t="s">
        <v>157</v>
      </c>
    </row>
    <row r="159" spans="1:5" x14ac:dyDescent="0.3">
      <c r="A159" s="1">
        <v>156</v>
      </c>
      <c r="B159" s="1" t="s">
        <v>158</v>
      </c>
    </row>
    <row r="160" spans="1:5" x14ac:dyDescent="0.3">
      <c r="A160" s="1">
        <v>157</v>
      </c>
      <c r="B160" s="1" t="s">
        <v>159</v>
      </c>
    </row>
    <row r="161" spans="1:5" x14ac:dyDescent="0.3">
      <c r="A161" s="1">
        <v>158</v>
      </c>
      <c r="B161" s="1" t="s">
        <v>160</v>
      </c>
    </row>
    <row r="162" spans="1:5" x14ac:dyDescent="0.3">
      <c r="A162" s="1">
        <v>159</v>
      </c>
      <c r="B162" s="1" t="s">
        <v>161</v>
      </c>
    </row>
    <row r="163" spans="1:5" x14ac:dyDescent="0.3">
      <c r="A163" s="1">
        <v>160</v>
      </c>
      <c r="B163" s="1" t="s">
        <v>162</v>
      </c>
      <c r="C163" s="1" t="s">
        <v>230</v>
      </c>
      <c r="D163" s="1" t="s">
        <v>440</v>
      </c>
      <c r="E163" s="3" t="s">
        <v>382</v>
      </c>
    </row>
    <row r="164" spans="1:5" x14ac:dyDescent="0.3">
      <c r="A164" s="1">
        <v>161</v>
      </c>
      <c r="B164" s="1" t="s">
        <v>163</v>
      </c>
      <c r="C164" s="1" t="s">
        <v>230</v>
      </c>
    </row>
    <row r="165" spans="1:5" x14ac:dyDescent="0.3">
      <c r="A165" s="1">
        <v>162</v>
      </c>
      <c r="B165" s="1" t="s">
        <v>164</v>
      </c>
      <c r="C165" s="1" t="s">
        <v>230</v>
      </c>
    </row>
    <row r="166" spans="1:5" x14ac:dyDescent="0.3">
      <c r="A166" s="1">
        <v>163</v>
      </c>
      <c r="B166" s="1" t="s">
        <v>165</v>
      </c>
      <c r="C166" s="1" t="s">
        <v>230</v>
      </c>
    </row>
    <row r="167" spans="1:5" x14ac:dyDescent="0.3">
      <c r="A167" s="1">
        <v>164</v>
      </c>
      <c r="B167" s="1" t="s">
        <v>166</v>
      </c>
      <c r="C167" s="1" t="s">
        <v>230</v>
      </c>
    </row>
    <row r="168" spans="1:5" x14ac:dyDescent="0.3">
      <c r="A168" s="1">
        <v>165</v>
      </c>
      <c r="B168" s="1" t="s">
        <v>167</v>
      </c>
      <c r="C168" s="1" t="s">
        <v>230</v>
      </c>
    </row>
    <row r="169" spans="1:5" x14ac:dyDescent="0.3">
      <c r="A169" s="1">
        <v>166</v>
      </c>
      <c r="B169" s="1" t="s">
        <v>168</v>
      </c>
      <c r="C169" s="1" t="s">
        <v>230</v>
      </c>
    </row>
    <row r="170" spans="1:5" x14ac:dyDescent="0.3">
      <c r="A170" s="1">
        <v>167</v>
      </c>
      <c r="B170" s="1" t="s">
        <v>169</v>
      </c>
      <c r="C170" s="1" t="s">
        <v>230</v>
      </c>
    </row>
    <row r="171" spans="1:5" x14ac:dyDescent="0.3">
      <c r="A171" s="1">
        <v>168</v>
      </c>
      <c r="B171" s="1" t="s">
        <v>170</v>
      </c>
      <c r="C171" s="1" t="s">
        <v>230</v>
      </c>
    </row>
    <row r="172" spans="1:5" x14ac:dyDescent="0.3">
      <c r="A172" s="1">
        <v>169</v>
      </c>
      <c r="B172" s="1" t="s">
        <v>171</v>
      </c>
      <c r="C172" s="1" t="s">
        <v>230</v>
      </c>
    </row>
    <row r="173" spans="1:5" x14ac:dyDescent="0.3">
      <c r="A173" s="1">
        <v>170</v>
      </c>
      <c r="B173" s="1" t="s">
        <v>172</v>
      </c>
      <c r="C173" s="1" t="s">
        <v>230</v>
      </c>
    </row>
    <row r="174" spans="1:5" x14ac:dyDescent="0.3">
      <c r="A174" s="1">
        <v>171</v>
      </c>
      <c r="B174" s="1" t="s">
        <v>173</v>
      </c>
      <c r="C174" s="1" t="s">
        <v>230</v>
      </c>
    </row>
    <row r="175" spans="1:5" x14ac:dyDescent="0.3">
      <c r="A175" s="1">
        <v>172</v>
      </c>
      <c r="B175" s="1" t="s">
        <v>174</v>
      </c>
      <c r="C175" s="1" t="s">
        <v>230</v>
      </c>
    </row>
    <row r="176" spans="1:5" x14ac:dyDescent="0.3">
      <c r="A176" s="1">
        <v>173</v>
      </c>
      <c r="B176" s="1" t="s">
        <v>175</v>
      </c>
      <c r="C176" s="1" t="s">
        <v>230</v>
      </c>
    </row>
    <row r="177" spans="1:3" x14ac:dyDescent="0.3">
      <c r="A177" s="1">
        <v>174</v>
      </c>
      <c r="B177" s="1" t="s">
        <v>176</v>
      </c>
      <c r="C177" s="1" t="s">
        <v>230</v>
      </c>
    </row>
    <row r="178" spans="1:3" x14ac:dyDescent="0.3">
      <c r="A178" s="1">
        <v>175</v>
      </c>
      <c r="B178" s="1" t="s">
        <v>177</v>
      </c>
      <c r="C178" s="1" t="s">
        <v>230</v>
      </c>
    </row>
    <row r="179" spans="1:3" x14ac:dyDescent="0.3">
      <c r="A179" s="1">
        <v>176</v>
      </c>
      <c r="B179" s="1" t="s">
        <v>178</v>
      </c>
    </row>
    <row r="180" spans="1:3" x14ac:dyDescent="0.3">
      <c r="A180" s="1">
        <v>177</v>
      </c>
      <c r="B180" s="1" t="s">
        <v>179</v>
      </c>
    </row>
    <row r="181" spans="1:3" x14ac:dyDescent="0.3">
      <c r="A181" s="1">
        <v>178</v>
      </c>
      <c r="B181" s="1" t="s">
        <v>180</v>
      </c>
    </row>
    <row r="182" spans="1:3" x14ac:dyDescent="0.3">
      <c r="A182" s="1">
        <v>179</v>
      </c>
      <c r="B182" s="1" t="s">
        <v>181</v>
      </c>
    </row>
    <row r="183" spans="1:3" x14ac:dyDescent="0.3">
      <c r="A183" s="1">
        <v>180</v>
      </c>
      <c r="B183" s="1" t="s">
        <v>182</v>
      </c>
    </row>
    <row r="184" spans="1:3" x14ac:dyDescent="0.3">
      <c r="A184" s="1">
        <v>181</v>
      </c>
      <c r="B184" s="1" t="s">
        <v>183</v>
      </c>
    </row>
    <row r="185" spans="1:3" x14ac:dyDescent="0.3">
      <c r="A185" s="1">
        <v>182</v>
      </c>
      <c r="B185" s="1" t="s">
        <v>184</v>
      </c>
    </row>
    <row r="186" spans="1:3" x14ac:dyDescent="0.3">
      <c r="A186" s="1">
        <v>183</v>
      </c>
      <c r="B186" s="1" t="s">
        <v>185</v>
      </c>
    </row>
    <row r="187" spans="1:3" x14ac:dyDescent="0.3">
      <c r="A187" s="1">
        <v>184</v>
      </c>
      <c r="B187" s="1" t="s">
        <v>186</v>
      </c>
    </row>
    <row r="188" spans="1:3" x14ac:dyDescent="0.3">
      <c r="A188" s="1">
        <v>185</v>
      </c>
      <c r="B188" s="1" t="s">
        <v>187</v>
      </c>
    </row>
    <row r="189" spans="1:3" x14ac:dyDescent="0.3">
      <c r="A189" s="1">
        <v>186</v>
      </c>
      <c r="B189" s="1" t="s">
        <v>188</v>
      </c>
    </row>
    <row r="190" spans="1:3" x14ac:dyDescent="0.3">
      <c r="A190" s="1">
        <v>187</v>
      </c>
      <c r="B190" s="1" t="s">
        <v>189</v>
      </c>
    </row>
    <row r="191" spans="1:3" x14ac:dyDescent="0.3">
      <c r="A191" s="1">
        <v>188</v>
      </c>
      <c r="B191" s="1" t="s">
        <v>190</v>
      </c>
    </row>
    <row r="192" spans="1:3" x14ac:dyDescent="0.3">
      <c r="A192" s="1">
        <v>189</v>
      </c>
      <c r="B192" s="1" t="s">
        <v>191</v>
      </c>
    </row>
    <row r="193" spans="1:2" x14ac:dyDescent="0.3">
      <c r="A193" s="1">
        <v>190</v>
      </c>
      <c r="B193" s="1" t="s">
        <v>192</v>
      </c>
    </row>
    <row r="194" spans="1:2" x14ac:dyDescent="0.3">
      <c r="A194" s="1">
        <v>191</v>
      </c>
      <c r="B194" s="1" t="s">
        <v>193</v>
      </c>
    </row>
    <row r="195" spans="1:2" x14ac:dyDescent="0.3">
      <c r="A195" s="1">
        <v>192</v>
      </c>
      <c r="B195" s="1" t="s">
        <v>194</v>
      </c>
    </row>
    <row r="196" spans="1:2" x14ac:dyDescent="0.3">
      <c r="A196" s="1">
        <v>193</v>
      </c>
      <c r="B196" s="1" t="s">
        <v>195</v>
      </c>
    </row>
    <row r="197" spans="1:2" x14ac:dyDescent="0.3">
      <c r="A197" s="1">
        <v>194</v>
      </c>
      <c r="B197" s="1" t="s">
        <v>196</v>
      </c>
    </row>
    <row r="198" spans="1:2" x14ac:dyDescent="0.3">
      <c r="A198" s="1">
        <v>195</v>
      </c>
      <c r="B198" s="1" t="s">
        <v>197</v>
      </c>
    </row>
    <row r="199" spans="1:2" x14ac:dyDescent="0.3">
      <c r="A199" s="1">
        <v>196</v>
      </c>
      <c r="B199" s="1" t="s">
        <v>198</v>
      </c>
    </row>
    <row r="200" spans="1:2" x14ac:dyDescent="0.3">
      <c r="A200" s="1">
        <v>197</v>
      </c>
      <c r="B200" s="1" t="s">
        <v>199</v>
      </c>
    </row>
    <row r="201" spans="1:2" x14ac:dyDescent="0.3">
      <c r="A201" s="1">
        <v>198</v>
      </c>
      <c r="B201" s="1" t="s">
        <v>200</v>
      </c>
    </row>
    <row r="202" spans="1:2" x14ac:dyDescent="0.3">
      <c r="A202" s="1">
        <v>199</v>
      </c>
      <c r="B202" s="1" t="s">
        <v>201</v>
      </c>
    </row>
    <row r="203" spans="1:2" x14ac:dyDescent="0.3">
      <c r="A203" s="1">
        <v>200</v>
      </c>
      <c r="B203" s="1" t="s">
        <v>202</v>
      </c>
    </row>
    <row r="204" spans="1:2" x14ac:dyDescent="0.3">
      <c r="A204" s="1">
        <v>201</v>
      </c>
      <c r="B204" s="1" t="s">
        <v>203</v>
      </c>
    </row>
    <row r="205" spans="1:2" x14ac:dyDescent="0.3">
      <c r="A205" s="1">
        <v>202</v>
      </c>
      <c r="B205" s="1" t="s">
        <v>204</v>
      </c>
    </row>
    <row r="206" spans="1:2" x14ac:dyDescent="0.3">
      <c r="A206" s="1">
        <v>203</v>
      </c>
      <c r="B206" s="1" t="s">
        <v>205</v>
      </c>
    </row>
    <row r="207" spans="1:2" x14ac:dyDescent="0.3">
      <c r="A207" s="1">
        <v>204</v>
      </c>
      <c r="B207" s="1" t="s">
        <v>206</v>
      </c>
    </row>
    <row r="208" spans="1:2" x14ac:dyDescent="0.3">
      <c r="A208" s="1">
        <v>205</v>
      </c>
      <c r="B208" s="1" t="s">
        <v>207</v>
      </c>
    </row>
    <row r="209" spans="1:2" x14ac:dyDescent="0.3">
      <c r="A209" s="1">
        <v>206</v>
      </c>
      <c r="B209" s="1" t="s">
        <v>208</v>
      </c>
    </row>
    <row r="210" spans="1:2" x14ac:dyDescent="0.3">
      <c r="A210" s="1">
        <v>207</v>
      </c>
      <c r="B210" s="1" t="s">
        <v>209</v>
      </c>
    </row>
    <row r="211" spans="1:2" x14ac:dyDescent="0.3">
      <c r="A211" s="1">
        <v>208</v>
      </c>
      <c r="B211" s="1" t="s">
        <v>210</v>
      </c>
    </row>
    <row r="212" spans="1:2" x14ac:dyDescent="0.3">
      <c r="A212" s="1">
        <v>209</v>
      </c>
      <c r="B212" s="1" t="s">
        <v>211</v>
      </c>
    </row>
    <row r="213" spans="1:2" x14ac:dyDescent="0.3">
      <c r="A213" s="1">
        <v>210</v>
      </c>
      <c r="B213" s="1" t="s">
        <v>212</v>
      </c>
    </row>
    <row r="214" spans="1:2" x14ac:dyDescent="0.3">
      <c r="A214" s="1">
        <v>211</v>
      </c>
      <c r="B214" s="1" t="s">
        <v>213</v>
      </c>
    </row>
    <row r="215" spans="1:2" x14ac:dyDescent="0.3">
      <c r="A215" s="1">
        <v>212</v>
      </c>
      <c r="B215" s="1" t="s">
        <v>214</v>
      </c>
    </row>
    <row r="216" spans="1:2" x14ac:dyDescent="0.3">
      <c r="A216" s="1">
        <v>213</v>
      </c>
      <c r="B216" s="1" t="s">
        <v>215</v>
      </c>
    </row>
    <row r="217" spans="1:2" x14ac:dyDescent="0.3">
      <c r="A217" s="1">
        <v>214</v>
      </c>
      <c r="B217" s="1" t="s">
        <v>216</v>
      </c>
    </row>
    <row r="218" spans="1:2" x14ac:dyDescent="0.3">
      <c r="A218" s="1">
        <v>215</v>
      </c>
      <c r="B218" s="1" t="s">
        <v>217</v>
      </c>
    </row>
    <row r="219" spans="1:2" x14ac:dyDescent="0.3">
      <c r="A219" s="1">
        <v>216</v>
      </c>
      <c r="B219" s="1" t="s">
        <v>218</v>
      </c>
    </row>
    <row r="220" spans="1:2" x14ac:dyDescent="0.3">
      <c r="A220" s="1">
        <v>217</v>
      </c>
      <c r="B220" s="1" t="s">
        <v>219</v>
      </c>
    </row>
    <row r="221" spans="1:2" x14ac:dyDescent="0.3">
      <c r="A221" s="1">
        <v>218</v>
      </c>
    </row>
    <row r="222" spans="1:2" x14ac:dyDescent="0.3">
      <c r="A222" s="1">
        <v>219</v>
      </c>
    </row>
    <row r="223" spans="1:2" x14ac:dyDescent="0.3">
      <c r="A223" s="1">
        <v>220</v>
      </c>
    </row>
    <row r="224" spans="1:2" x14ac:dyDescent="0.3">
      <c r="A224" s="1">
        <v>221</v>
      </c>
    </row>
    <row r="225" spans="1:1" x14ac:dyDescent="0.3">
      <c r="A225" s="1">
        <v>222</v>
      </c>
    </row>
    <row r="226" spans="1:1" x14ac:dyDescent="0.3">
      <c r="A226" s="1">
        <v>223</v>
      </c>
    </row>
    <row r="227" spans="1:1" x14ac:dyDescent="0.3">
      <c r="A227" s="1">
        <v>224</v>
      </c>
    </row>
    <row r="228" spans="1:1" x14ac:dyDescent="0.3">
      <c r="A228" s="1">
        <v>225</v>
      </c>
    </row>
    <row r="229" spans="1:1" x14ac:dyDescent="0.3">
      <c r="A229" s="1">
        <v>226</v>
      </c>
    </row>
    <row r="230" spans="1:1" x14ac:dyDescent="0.3">
      <c r="A230" s="1">
        <v>227</v>
      </c>
    </row>
    <row r="231" spans="1:1" x14ac:dyDescent="0.3">
      <c r="A231" s="1">
        <v>228</v>
      </c>
    </row>
    <row r="232" spans="1:1" x14ac:dyDescent="0.3">
      <c r="A232" s="1">
        <v>229</v>
      </c>
    </row>
    <row r="233" spans="1:1" x14ac:dyDescent="0.3">
      <c r="A233" s="1">
        <v>230</v>
      </c>
    </row>
    <row r="234" spans="1:1" x14ac:dyDescent="0.3">
      <c r="A234" s="1">
        <v>231</v>
      </c>
    </row>
    <row r="235" spans="1:1" x14ac:dyDescent="0.3">
      <c r="A235" s="1">
        <v>232</v>
      </c>
    </row>
    <row r="236" spans="1:1" x14ac:dyDescent="0.3">
      <c r="A236" s="1">
        <v>233</v>
      </c>
    </row>
    <row r="237" spans="1:1" x14ac:dyDescent="0.3">
      <c r="A237" s="1">
        <v>234</v>
      </c>
    </row>
    <row r="238" spans="1:1" x14ac:dyDescent="0.3">
      <c r="A238" s="1">
        <v>235</v>
      </c>
    </row>
    <row r="239" spans="1:1" x14ac:dyDescent="0.3">
      <c r="A239" s="1">
        <v>236</v>
      </c>
    </row>
    <row r="240" spans="1:1" x14ac:dyDescent="0.3">
      <c r="A240" s="1">
        <v>237</v>
      </c>
    </row>
    <row r="241" spans="1:1" x14ac:dyDescent="0.3">
      <c r="A241" s="1">
        <v>238</v>
      </c>
    </row>
    <row r="242" spans="1:1" x14ac:dyDescent="0.3">
      <c r="A242" s="1">
        <v>239</v>
      </c>
    </row>
    <row r="243" spans="1:1" x14ac:dyDescent="0.3">
      <c r="A243" s="1">
        <v>240</v>
      </c>
    </row>
    <row r="244" spans="1:1" x14ac:dyDescent="0.3">
      <c r="A244" s="1">
        <v>241</v>
      </c>
    </row>
    <row r="245" spans="1:1" x14ac:dyDescent="0.3">
      <c r="A245" s="1">
        <v>242</v>
      </c>
    </row>
    <row r="246" spans="1:1" x14ac:dyDescent="0.3">
      <c r="A246" s="1">
        <v>243</v>
      </c>
    </row>
    <row r="247" spans="1:1" x14ac:dyDescent="0.3">
      <c r="A247" s="1">
        <v>244</v>
      </c>
    </row>
    <row r="248" spans="1:1" x14ac:dyDescent="0.3">
      <c r="A248" s="1">
        <v>245</v>
      </c>
    </row>
    <row r="249" spans="1:1" x14ac:dyDescent="0.3">
      <c r="A249" s="1">
        <v>246</v>
      </c>
    </row>
    <row r="250" spans="1:1" x14ac:dyDescent="0.3">
      <c r="A250" s="1">
        <v>247</v>
      </c>
    </row>
    <row r="251" spans="1:1" x14ac:dyDescent="0.3">
      <c r="A251" s="1">
        <v>248</v>
      </c>
    </row>
    <row r="252" spans="1:1" x14ac:dyDescent="0.3">
      <c r="A252" s="1">
        <v>249</v>
      </c>
    </row>
    <row r="253" spans="1:1" x14ac:dyDescent="0.3">
      <c r="A253" s="1">
        <v>250</v>
      </c>
    </row>
    <row r="254" spans="1:1" x14ac:dyDescent="0.3">
      <c r="A254" s="1">
        <v>251</v>
      </c>
    </row>
    <row r="255" spans="1:1" x14ac:dyDescent="0.3">
      <c r="A255" s="1">
        <v>252</v>
      </c>
    </row>
    <row r="256" spans="1:1" x14ac:dyDescent="0.3">
      <c r="A256" s="1">
        <v>253</v>
      </c>
    </row>
    <row r="257" spans="1:1" x14ac:dyDescent="0.3">
      <c r="A257" s="1">
        <v>254</v>
      </c>
    </row>
  </sheetData>
  <mergeCells count="5">
    <mergeCell ref="F15:F39"/>
    <mergeCell ref="F40:F42"/>
    <mergeCell ref="F44:F46"/>
    <mergeCell ref="F47:F49"/>
    <mergeCell ref="F3:F8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DCFB-63F4-4879-82AE-332A8EFE2277}">
  <dimension ref="A2:F257"/>
  <sheetViews>
    <sheetView topLeftCell="A145" workbookViewId="0">
      <selection activeCell="F165" sqref="F165"/>
    </sheetView>
  </sheetViews>
  <sheetFormatPr baseColWidth="10" defaultRowHeight="14.4" x14ac:dyDescent="0.3"/>
  <cols>
    <col min="1" max="1" width="6" style="1" customWidth="1"/>
    <col min="2" max="3" width="11.44140625" style="1"/>
    <col min="4" max="4" width="19" style="1" customWidth="1"/>
    <col min="5" max="5" width="24" style="3" customWidth="1"/>
    <col min="6" max="6" width="20.88671875" bestFit="1" customWidth="1"/>
  </cols>
  <sheetData>
    <row r="2" spans="1:6" x14ac:dyDescent="0.3">
      <c r="A2" s="1" t="s">
        <v>383</v>
      </c>
      <c r="B2" s="1" t="s">
        <v>385</v>
      </c>
      <c r="C2" s="1" t="s">
        <v>375</v>
      </c>
      <c r="D2" s="4" t="s">
        <v>386</v>
      </c>
      <c r="E2" s="3" t="s">
        <v>384</v>
      </c>
    </row>
    <row r="3" spans="1:6" x14ac:dyDescent="0.3">
      <c r="A3" s="1">
        <v>0</v>
      </c>
      <c r="B3" s="1" t="s">
        <v>0</v>
      </c>
      <c r="C3" s="1" t="s">
        <v>230</v>
      </c>
      <c r="D3" s="1" t="s">
        <v>440</v>
      </c>
      <c r="E3" s="3" t="s">
        <v>442</v>
      </c>
      <c r="F3" s="117" t="s">
        <v>233</v>
      </c>
    </row>
    <row r="4" spans="1:6" x14ac:dyDescent="0.3">
      <c r="A4" s="1">
        <v>1</v>
      </c>
      <c r="B4" s="1" t="s">
        <v>1</v>
      </c>
      <c r="C4" s="1" t="s">
        <v>230</v>
      </c>
      <c r="D4" s="1" t="s">
        <v>440</v>
      </c>
      <c r="E4" s="3" t="s">
        <v>441</v>
      </c>
      <c r="F4" s="114"/>
    </row>
    <row r="5" spans="1:6" x14ac:dyDescent="0.3">
      <c r="A5" s="1">
        <v>2</v>
      </c>
      <c r="B5" s="1" t="s">
        <v>2</v>
      </c>
      <c r="C5" s="1" t="s">
        <v>377</v>
      </c>
      <c r="F5" s="114"/>
    </row>
    <row r="6" spans="1:6" x14ac:dyDescent="0.3">
      <c r="A6" s="1">
        <v>3</v>
      </c>
      <c r="B6" s="1" t="s">
        <v>3</v>
      </c>
      <c r="F6" s="114"/>
    </row>
    <row r="7" spans="1:6" x14ac:dyDescent="0.3">
      <c r="A7" s="1">
        <v>4</v>
      </c>
      <c r="B7" s="1" t="s">
        <v>4</v>
      </c>
      <c r="F7" s="114"/>
    </row>
    <row r="8" spans="1:6" x14ac:dyDescent="0.3">
      <c r="A8" s="1">
        <v>5</v>
      </c>
      <c r="B8" s="1" t="s">
        <v>5</v>
      </c>
      <c r="F8" s="114"/>
    </row>
    <row r="9" spans="1:6" x14ac:dyDescent="0.3">
      <c r="A9" s="1">
        <v>6</v>
      </c>
      <c r="B9" s="1" t="s">
        <v>6</v>
      </c>
    </row>
    <row r="10" spans="1:6" x14ac:dyDescent="0.3">
      <c r="A10" s="1">
        <v>7</v>
      </c>
      <c r="B10" s="1" t="s">
        <v>7</v>
      </c>
    </row>
    <row r="11" spans="1:6" x14ac:dyDescent="0.3">
      <c r="A11" s="1">
        <v>8</v>
      </c>
      <c r="B11" s="1" t="s">
        <v>8</v>
      </c>
    </row>
    <row r="12" spans="1:6" x14ac:dyDescent="0.3">
      <c r="A12" s="1">
        <v>9</v>
      </c>
      <c r="B12" s="1" t="s">
        <v>9</v>
      </c>
      <c r="C12" s="1" t="s">
        <v>230</v>
      </c>
      <c r="D12" s="1" t="s">
        <v>440</v>
      </c>
      <c r="E12" s="3" t="s">
        <v>378</v>
      </c>
      <c r="F12" t="s">
        <v>231</v>
      </c>
    </row>
    <row r="13" spans="1:6" x14ac:dyDescent="0.3">
      <c r="A13" s="1">
        <v>10</v>
      </c>
      <c r="B13" s="1" t="s">
        <v>10</v>
      </c>
      <c r="C13" s="1" t="s">
        <v>230</v>
      </c>
      <c r="E13" s="3" t="s">
        <v>379</v>
      </c>
      <c r="F13" t="s">
        <v>232</v>
      </c>
    </row>
    <row r="14" spans="1:6" x14ac:dyDescent="0.3">
      <c r="A14" s="1">
        <v>11</v>
      </c>
      <c r="B14" s="1" t="s">
        <v>12</v>
      </c>
      <c r="C14" s="1" t="s">
        <v>230</v>
      </c>
      <c r="D14" s="1" t="s">
        <v>440</v>
      </c>
      <c r="E14" s="3" t="s">
        <v>380</v>
      </c>
    </row>
    <row r="15" spans="1:6" x14ac:dyDescent="0.3">
      <c r="A15" s="1">
        <v>12</v>
      </c>
      <c r="B15" s="1" t="s">
        <v>14</v>
      </c>
      <c r="F15" s="114" t="s">
        <v>361</v>
      </c>
    </row>
    <row r="16" spans="1:6" x14ac:dyDescent="0.3">
      <c r="A16" s="1">
        <v>13</v>
      </c>
      <c r="B16" s="1" t="s">
        <v>15</v>
      </c>
      <c r="F16" s="114"/>
    </row>
    <row r="17" spans="1:6" x14ac:dyDescent="0.3">
      <c r="A17" s="1">
        <v>14</v>
      </c>
      <c r="B17" s="1" t="s">
        <v>16</v>
      </c>
      <c r="F17" s="114"/>
    </row>
    <row r="18" spans="1:6" x14ac:dyDescent="0.3">
      <c r="A18" s="1">
        <v>15</v>
      </c>
      <c r="B18" s="1" t="s">
        <v>17</v>
      </c>
      <c r="F18" s="114"/>
    </row>
    <row r="19" spans="1:6" x14ac:dyDescent="0.3">
      <c r="A19" s="1">
        <v>16</v>
      </c>
      <c r="B19" s="1" t="s">
        <v>18</v>
      </c>
      <c r="F19" s="114"/>
    </row>
    <row r="20" spans="1:6" x14ac:dyDescent="0.3">
      <c r="A20" s="1">
        <v>17</v>
      </c>
      <c r="B20" s="1" t="s">
        <v>19</v>
      </c>
      <c r="F20" s="114"/>
    </row>
    <row r="21" spans="1:6" x14ac:dyDescent="0.3">
      <c r="A21" s="1">
        <v>18</v>
      </c>
      <c r="B21" s="1" t="s">
        <v>20</v>
      </c>
      <c r="F21" s="114"/>
    </row>
    <row r="22" spans="1:6" x14ac:dyDescent="0.3">
      <c r="A22" s="1">
        <v>19</v>
      </c>
      <c r="B22" s="1" t="s">
        <v>21</v>
      </c>
      <c r="F22" s="114"/>
    </row>
    <row r="23" spans="1:6" x14ac:dyDescent="0.3">
      <c r="A23" s="1">
        <v>20</v>
      </c>
      <c r="B23" s="1" t="s">
        <v>22</v>
      </c>
      <c r="F23" s="114"/>
    </row>
    <row r="24" spans="1:6" x14ac:dyDescent="0.3">
      <c r="A24" s="1">
        <v>21</v>
      </c>
      <c r="B24" s="1" t="s">
        <v>33</v>
      </c>
      <c r="F24" s="114"/>
    </row>
    <row r="25" spans="1:6" x14ac:dyDescent="0.3">
      <c r="A25" s="1">
        <v>22</v>
      </c>
      <c r="B25" s="1" t="s">
        <v>34</v>
      </c>
      <c r="F25" s="114"/>
    </row>
    <row r="26" spans="1:6" x14ac:dyDescent="0.3">
      <c r="A26" s="1">
        <v>23</v>
      </c>
      <c r="B26" s="1" t="s">
        <v>23</v>
      </c>
      <c r="F26" s="114"/>
    </row>
    <row r="27" spans="1:6" x14ac:dyDescent="0.3">
      <c r="A27" s="1">
        <v>24</v>
      </c>
      <c r="B27" s="1" t="s">
        <v>24</v>
      </c>
      <c r="F27" s="114"/>
    </row>
    <row r="28" spans="1:6" x14ac:dyDescent="0.3">
      <c r="A28" s="1">
        <v>25</v>
      </c>
      <c r="B28" s="1" t="s">
        <v>25</v>
      </c>
      <c r="F28" s="114"/>
    </row>
    <row r="29" spans="1:6" x14ac:dyDescent="0.3">
      <c r="A29" s="1">
        <v>26</v>
      </c>
      <c r="B29" s="1" t="s">
        <v>26</v>
      </c>
      <c r="F29" s="114"/>
    </row>
    <row r="30" spans="1:6" x14ac:dyDescent="0.3">
      <c r="A30" s="1">
        <v>27</v>
      </c>
      <c r="B30" s="1" t="s">
        <v>27</v>
      </c>
      <c r="F30" s="114"/>
    </row>
    <row r="31" spans="1:6" x14ac:dyDescent="0.3">
      <c r="A31" s="1">
        <v>28</v>
      </c>
      <c r="B31" s="1" t="s">
        <v>28</v>
      </c>
      <c r="F31" s="114"/>
    </row>
    <row r="32" spans="1:6" x14ac:dyDescent="0.3">
      <c r="A32" s="1">
        <v>29</v>
      </c>
      <c r="B32" s="1" t="s">
        <v>29</v>
      </c>
      <c r="F32" s="114"/>
    </row>
    <row r="33" spans="1:6" x14ac:dyDescent="0.3">
      <c r="A33" s="1">
        <v>30</v>
      </c>
      <c r="B33" s="1" t="s">
        <v>30</v>
      </c>
      <c r="F33" s="114"/>
    </row>
    <row r="34" spans="1:6" x14ac:dyDescent="0.3">
      <c r="A34" s="1">
        <v>31</v>
      </c>
      <c r="B34" s="1" t="s">
        <v>31</v>
      </c>
      <c r="F34" s="114"/>
    </row>
    <row r="35" spans="1:6" x14ac:dyDescent="0.3">
      <c r="A35" s="1">
        <v>32</v>
      </c>
      <c r="B35" s="1" t="s">
        <v>32</v>
      </c>
      <c r="F35" s="114"/>
    </row>
    <row r="36" spans="1:6" x14ac:dyDescent="0.3">
      <c r="A36" s="1">
        <v>33</v>
      </c>
      <c r="B36" s="1" t="s">
        <v>35</v>
      </c>
      <c r="F36" s="114"/>
    </row>
    <row r="37" spans="1:6" x14ac:dyDescent="0.3">
      <c r="A37" s="1">
        <v>34</v>
      </c>
      <c r="B37" s="1" t="s">
        <v>36</v>
      </c>
      <c r="F37" s="114"/>
    </row>
    <row r="38" spans="1:6" x14ac:dyDescent="0.3">
      <c r="A38" s="1">
        <v>35</v>
      </c>
      <c r="B38" s="1" t="s">
        <v>37</v>
      </c>
      <c r="F38" s="114"/>
    </row>
    <row r="39" spans="1:6" x14ac:dyDescent="0.3">
      <c r="A39" s="1">
        <v>36</v>
      </c>
      <c r="B39" s="1" t="s">
        <v>38</v>
      </c>
      <c r="F39" s="114"/>
    </row>
    <row r="40" spans="1:6" x14ac:dyDescent="0.3">
      <c r="A40" s="1">
        <v>37</v>
      </c>
      <c r="B40" s="1" t="s">
        <v>39</v>
      </c>
      <c r="F40" s="114" t="s">
        <v>372</v>
      </c>
    </row>
    <row r="41" spans="1:6" x14ac:dyDescent="0.3">
      <c r="A41" s="1">
        <v>38</v>
      </c>
      <c r="B41" s="1" t="s">
        <v>40</v>
      </c>
      <c r="F41" s="114"/>
    </row>
    <row r="42" spans="1:6" x14ac:dyDescent="0.3">
      <c r="A42" s="1">
        <v>39</v>
      </c>
      <c r="B42" s="1" t="s">
        <v>41</v>
      </c>
      <c r="F42" s="114"/>
    </row>
    <row r="43" spans="1:6" x14ac:dyDescent="0.3">
      <c r="A43" s="1">
        <v>40</v>
      </c>
      <c r="B43" s="1" t="s">
        <v>42</v>
      </c>
    </row>
    <row r="44" spans="1:6" x14ac:dyDescent="0.3">
      <c r="A44" s="1">
        <v>41</v>
      </c>
      <c r="B44" s="1" t="s">
        <v>43</v>
      </c>
      <c r="F44" s="114" t="s">
        <v>371</v>
      </c>
    </row>
    <row r="45" spans="1:6" x14ac:dyDescent="0.3">
      <c r="A45" s="1">
        <v>42</v>
      </c>
      <c r="B45" s="1" t="s">
        <v>44</v>
      </c>
      <c r="F45" s="114"/>
    </row>
    <row r="46" spans="1:6" x14ac:dyDescent="0.3">
      <c r="A46" s="1">
        <v>43</v>
      </c>
      <c r="B46" s="1" t="s">
        <v>45</v>
      </c>
      <c r="F46" s="114"/>
    </row>
    <row r="47" spans="1:6" x14ac:dyDescent="0.3">
      <c r="A47" s="1">
        <v>44</v>
      </c>
      <c r="B47" s="1" t="s">
        <v>46</v>
      </c>
      <c r="C47" s="1" t="s">
        <v>230</v>
      </c>
      <c r="E47" s="3" t="s">
        <v>345</v>
      </c>
      <c r="F47" s="114" t="s">
        <v>229</v>
      </c>
    </row>
    <row r="48" spans="1:6" x14ac:dyDescent="0.3">
      <c r="A48" s="1">
        <v>45</v>
      </c>
      <c r="B48" s="1" t="s">
        <v>47</v>
      </c>
      <c r="C48" s="1" t="s">
        <v>230</v>
      </c>
      <c r="E48" s="3" t="s">
        <v>345</v>
      </c>
      <c r="F48" s="114"/>
    </row>
    <row r="49" spans="1:6" x14ac:dyDescent="0.3">
      <c r="A49" s="1">
        <v>46</v>
      </c>
      <c r="B49" s="1" t="s">
        <v>48</v>
      </c>
      <c r="C49" s="1" t="s">
        <v>230</v>
      </c>
      <c r="D49" s="1" t="s">
        <v>440</v>
      </c>
      <c r="E49" s="3" t="s">
        <v>345</v>
      </c>
      <c r="F49" s="114"/>
    </row>
    <row r="50" spans="1:6" x14ac:dyDescent="0.3">
      <c r="A50" s="1">
        <v>47</v>
      </c>
      <c r="B50" s="1" t="s">
        <v>49</v>
      </c>
    </row>
    <row r="51" spans="1:6" x14ac:dyDescent="0.3">
      <c r="A51" s="1">
        <v>48</v>
      </c>
      <c r="B51" s="1" t="s">
        <v>50</v>
      </c>
    </row>
    <row r="52" spans="1:6" x14ac:dyDescent="0.3">
      <c r="A52" s="1">
        <v>49</v>
      </c>
      <c r="B52" s="1" t="s">
        <v>51</v>
      </c>
    </row>
    <row r="53" spans="1:6" x14ac:dyDescent="0.3">
      <c r="A53" s="1">
        <v>50</v>
      </c>
      <c r="B53" s="1" t="s">
        <v>52</v>
      </c>
    </row>
    <row r="54" spans="1:6" x14ac:dyDescent="0.3">
      <c r="A54" s="1">
        <v>51</v>
      </c>
      <c r="B54" s="1" t="s">
        <v>53</v>
      </c>
    </row>
    <row r="55" spans="1:6" x14ac:dyDescent="0.3">
      <c r="A55" s="1">
        <v>52</v>
      </c>
      <c r="B55" s="1" t="s">
        <v>54</v>
      </c>
    </row>
    <row r="56" spans="1:6" x14ac:dyDescent="0.3">
      <c r="A56" s="1">
        <v>53</v>
      </c>
      <c r="B56" s="1" t="s">
        <v>55</v>
      </c>
    </row>
    <row r="57" spans="1:6" x14ac:dyDescent="0.3">
      <c r="A57" s="1">
        <v>54</v>
      </c>
      <c r="B57" s="1" t="s">
        <v>56</v>
      </c>
    </row>
    <row r="58" spans="1:6" x14ac:dyDescent="0.3">
      <c r="A58" s="1">
        <v>55</v>
      </c>
      <c r="B58" s="1" t="s">
        <v>57</v>
      </c>
    </row>
    <row r="59" spans="1:6" x14ac:dyDescent="0.3">
      <c r="A59" s="1">
        <v>56</v>
      </c>
      <c r="B59" s="1" t="s">
        <v>58</v>
      </c>
    </row>
    <row r="60" spans="1:6" x14ac:dyDescent="0.3">
      <c r="A60" s="1">
        <v>57</v>
      </c>
      <c r="B60" s="1" t="s">
        <v>59</v>
      </c>
    </row>
    <row r="61" spans="1:6" x14ac:dyDescent="0.3">
      <c r="A61" s="1">
        <v>58</v>
      </c>
      <c r="B61" s="1" t="s">
        <v>60</v>
      </c>
    </row>
    <row r="62" spans="1:6" x14ac:dyDescent="0.3">
      <c r="A62" s="1">
        <v>59</v>
      </c>
      <c r="B62" s="1" t="s">
        <v>61</v>
      </c>
    </row>
    <row r="63" spans="1:6" x14ac:dyDescent="0.3">
      <c r="A63" s="1">
        <v>60</v>
      </c>
      <c r="B63" s="1" t="s">
        <v>62</v>
      </c>
    </row>
    <row r="64" spans="1:6" x14ac:dyDescent="0.3">
      <c r="A64" s="1">
        <v>61</v>
      </c>
      <c r="B64" s="1" t="s">
        <v>63</v>
      </c>
    </row>
    <row r="65" spans="1:2" x14ac:dyDescent="0.3">
      <c r="A65" s="1">
        <v>62</v>
      </c>
      <c r="B65" s="1" t="s">
        <v>64</v>
      </c>
    </row>
    <row r="66" spans="1:2" x14ac:dyDescent="0.3">
      <c r="A66" s="1">
        <v>63</v>
      </c>
      <c r="B66" s="1" t="s">
        <v>65</v>
      </c>
    </row>
    <row r="67" spans="1:2" x14ac:dyDescent="0.3">
      <c r="A67" s="1">
        <v>64</v>
      </c>
      <c r="B67" s="1" t="s">
        <v>66</v>
      </c>
    </row>
    <row r="68" spans="1:2" x14ac:dyDescent="0.3">
      <c r="A68" s="1">
        <v>65</v>
      </c>
      <c r="B68" s="1" t="s">
        <v>67</v>
      </c>
    </row>
    <row r="69" spans="1:2" x14ac:dyDescent="0.3">
      <c r="A69" s="1">
        <v>66</v>
      </c>
      <c r="B69" s="1" t="s">
        <v>68</v>
      </c>
    </row>
    <row r="70" spans="1:2" x14ac:dyDescent="0.3">
      <c r="A70" s="1">
        <v>67</v>
      </c>
      <c r="B70" s="1" t="s">
        <v>69</v>
      </c>
    </row>
    <row r="71" spans="1:2" x14ac:dyDescent="0.3">
      <c r="A71" s="1">
        <v>68</v>
      </c>
      <c r="B71" s="1" t="s">
        <v>70</v>
      </c>
    </row>
    <row r="72" spans="1:2" x14ac:dyDescent="0.3">
      <c r="A72" s="1">
        <v>69</v>
      </c>
      <c r="B72" s="1" t="s">
        <v>80</v>
      </c>
    </row>
    <row r="73" spans="1:2" x14ac:dyDescent="0.3">
      <c r="A73" s="1">
        <v>70</v>
      </c>
      <c r="B73" s="1" t="s">
        <v>81</v>
      </c>
    </row>
    <row r="74" spans="1:2" x14ac:dyDescent="0.3">
      <c r="A74" s="1">
        <v>71</v>
      </c>
      <c r="B74" s="1" t="s">
        <v>82</v>
      </c>
    </row>
    <row r="75" spans="1:2" x14ac:dyDescent="0.3">
      <c r="A75" s="1">
        <v>72</v>
      </c>
      <c r="B75" s="1" t="s">
        <v>83</v>
      </c>
    </row>
    <row r="76" spans="1:2" x14ac:dyDescent="0.3">
      <c r="A76" s="1">
        <v>73</v>
      </c>
      <c r="B76" s="1" t="s">
        <v>71</v>
      </c>
    </row>
    <row r="77" spans="1:2" x14ac:dyDescent="0.3">
      <c r="A77" s="1">
        <v>74</v>
      </c>
      <c r="B77" s="1" t="s">
        <v>72</v>
      </c>
    </row>
    <row r="78" spans="1:2" x14ac:dyDescent="0.3">
      <c r="A78" s="1">
        <v>75</v>
      </c>
      <c r="B78" s="1" t="s">
        <v>73</v>
      </c>
    </row>
    <row r="79" spans="1:2" x14ac:dyDescent="0.3">
      <c r="A79" s="1">
        <v>76</v>
      </c>
      <c r="B79" s="1" t="s">
        <v>74</v>
      </c>
    </row>
    <row r="80" spans="1:2" x14ac:dyDescent="0.3">
      <c r="A80" s="1">
        <v>77</v>
      </c>
      <c r="B80" s="1" t="s">
        <v>75</v>
      </c>
    </row>
    <row r="81" spans="1:2" x14ac:dyDescent="0.3">
      <c r="A81" s="1">
        <v>78</v>
      </c>
      <c r="B81" s="1" t="s">
        <v>76</v>
      </c>
    </row>
    <row r="82" spans="1:2" x14ac:dyDescent="0.3">
      <c r="A82" s="1">
        <v>79</v>
      </c>
      <c r="B82" s="1" t="s">
        <v>77</v>
      </c>
    </row>
    <row r="83" spans="1:2" x14ac:dyDescent="0.3">
      <c r="A83" s="1">
        <v>80</v>
      </c>
      <c r="B83" s="1" t="s">
        <v>78</v>
      </c>
    </row>
    <row r="84" spans="1:2" x14ac:dyDescent="0.3">
      <c r="A84" s="1">
        <v>81</v>
      </c>
      <c r="B84" s="1" t="s">
        <v>79</v>
      </c>
    </row>
    <row r="85" spans="1:2" x14ac:dyDescent="0.3">
      <c r="A85" s="1">
        <v>82</v>
      </c>
      <c r="B85" s="1" t="s">
        <v>84</v>
      </c>
    </row>
    <row r="86" spans="1:2" x14ac:dyDescent="0.3">
      <c r="A86" s="1">
        <v>83</v>
      </c>
      <c r="B86" s="1" t="s">
        <v>87</v>
      </c>
    </row>
    <row r="87" spans="1:2" x14ac:dyDescent="0.3">
      <c r="A87" s="1">
        <v>84</v>
      </c>
      <c r="B87" s="1" t="s">
        <v>88</v>
      </c>
    </row>
    <row r="88" spans="1:2" x14ac:dyDescent="0.3">
      <c r="A88" s="1">
        <v>85</v>
      </c>
      <c r="B88" s="1" t="s">
        <v>89</v>
      </c>
    </row>
    <row r="89" spans="1:2" x14ac:dyDescent="0.3">
      <c r="A89" s="1">
        <v>86</v>
      </c>
      <c r="B89" s="1" t="s">
        <v>90</v>
      </c>
    </row>
    <row r="90" spans="1:2" x14ac:dyDescent="0.3">
      <c r="A90" s="1">
        <v>87</v>
      </c>
      <c r="B90" s="1" t="s">
        <v>91</v>
      </c>
    </row>
    <row r="91" spans="1:2" x14ac:dyDescent="0.3">
      <c r="A91" s="1">
        <v>88</v>
      </c>
      <c r="B91" s="1" t="s">
        <v>92</v>
      </c>
    </row>
    <row r="92" spans="1:2" x14ac:dyDescent="0.3">
      <c r="A92" s="1">
        <v>89</v>
      </c>
      <c r="B92" s="1" t="s">
        <v>85</v>
      </c>
    </row>
    <row r="93" spans="1:2" x14ac:dyDescent="0.3">
      <c r="A93" s="1">
        <v>90</v>
      </c>
      <c r="B93" s="1" t="s">
        <v>86</v>
      </c>
    </row>
    <row r="94" spans="1:2" x14ac:dyDescent="0.3">
      <c r="A94" s="1">
        <v>91</v>
      </c>
      <c r="B94" s="1" t="s">
        <v>93</v>
      </c>
    </row>
    <row r="95" spans="1:2" x14ac:dyDescent="0.3">
      <c r="A95" s="1">
        <v>92</v>
      </c>
      <c r="B95" s="1" t="s">
        <v>94</v>
      </c>
    </row>
    <row r="96" spans="1:2" x14ac:dyDescent="0.3">
      <c r="A96" s="1">
        <v>93</v>
      </c>
      <c r="B96" s="1" t="s">
        <v>95</v>
      </c>
    </row>
    <row r="97" spans="1:2" x14ac:dyDescent="0.3">
      <c r="A97" s="1">
        <v>94</v>
      </c>
      <c r="B97" s="1" t="s">
        <v>96</v>
      </c>
    </row>
    <row r="98" spans="1:2" x14ac:dyDescent="0.3">
      <c r="A98" s="1">
        <v>95</v>
      </c>
      <c r="B98" s="1" t="s">
        <v>97</v>
      </c>
    </row>
    <row r="99" spans="1:2" x14ac:dyDescent="0.3">
      <c r="A99" s="1">
        <v>96</v>
      </c>
      <c r="B99" s="1" t="s">
        <v>98</v>
      </c>
    </row>
    <row r="100" spans="1:2" x14ac:dyDescent="0.3">
      <c r="A100" s="1">
        <v>97</v>
      </c>
      <c r="B100" s="1" t="s">
        <v>99</v>
      </c>
    </row>
    <row r="101" spans="1:2" x14ac:dyDescent="0.3">
      <c r="A101" s="1">
        <v>98</v>
      </c>
      <c r="B101" s="1" t="s">
        <v>100</v>
      </c>
    </row>
    <row r="102" spans="1:2" x14ac:dyDescent="0.3">
      <c r="A102" s="1">
        <v>99</v>
      </c>
      <c r="B102" s="1" t="s">
        <v>101</v>
      </c>
    </row>
    <row r="103" spans="1:2" x14ac:dyDescent="0.3">
      <c r="A103" s="1">
        <v>100</v>
      </c>
      <c r="B103" s="1" t="s">
        <v>102</v>
      </c>
    </row>
    <row r="104" spans="1:2" x14ac:dyDescent="0.3">
      <c r="A104" s="1">
        <v>101</v>
      </c>
      <c r="B104" s="1" t="s">
        <v>103</v>
      </c>
    </row>
    <row r="105" spans="1:2" x14ac:dyDescent="0.3">
      <c r="A105" s="1">
        <v>102</v>
      </c>
      <c r="B105" s="1" t="s">
        <v>104</v>
      </c>
    </row>
    <row r="106" spans="1:2" x14ac:dyDescent="0.3">
      <c r="A106" s="1">
        <v>103</v>
      </c>
      <c r="B106" s="1" t="s">
        <v>105</v>
      </c>
    </row>
    <row r="107" spans="1:2" x14ac:dyDescent="0.3">
      <c r="A107" s="1">
        <v>104</v>
      </c>
      <c r="B107" s="1" t="s">
        <v>106</v>
      </c>
    </row>
    <row r="108" spans="1:2" x14ac:dyDescent="0.3">
      <c r="A108" s="1">
        <v>105</v>
      </c>
      <c r="B108" s="1" t="s">
        <v>107</v>
      </c>
    </row>
    <row r="109" spans="1:2" x14ac:dyDescent="0.3">
      <c r="A109" s="1">
        <v>106</v>
      </c>
      <c r="B109" s="1" t="s">
        <v>108</v>
      </c>
    </row>
    <row r="110" spans="1:2" x14ac:dyDescent="0.3">
      <c r="A110" s="1">
        <v>107</v>
      </c>
      <c r="B110" s="1" t="s">
        <v>109</v>
      </c>
    </row>
    <row r="111" spans="1:2" x14ac:dyDescent="0.3">
      <c r="A111" s="1">
        <v>108</v>
      </c>
      <c r="B111" s="1" t="s">
        <v>110</v>
      </c>
    </row>
    <row r="112" spans="1:2" x14ac:dyDescent="0.3">
      <c r="A112" s="1">
        <v>109</v>
      </c>
      <c r="B112" s="1" t="s">
        <v>111</v>
      </c>
    </row>
    <row r="113" spans="1:2" x14ac:dyDescent="0.3">
      <c r="A113" s="1">
        <v>110</v>
      </c>
      <c r="B113" s="1" t="s">
        <v>112</v>
      </c>
    </row>
    <row r="114" spans="1:2" x14ac:dyDescent="0.3">
      <c r="A114" s="1">
        <v>111</v>
      </c>
      <c r="B114" s="1" t="s">
        <v>113</v>
      </c>
    </row>
    <row r="115" spans="1:2" x14ac:dyDescent="0.3">
      <c r="A115" s="1">
        <v>112</v>
      </c>
      <c r="B115" s="1" t="s">
        <v>114</v>
      </c>
    </row>
    <row r="116" spans="1:2" x14ac:dyDescent="0.3">
      <c r="A116" s="1">
        <v>113</v>
      </c>
      <c r="B116" s="1" t="s">
        <v>115</v>
      </c>
    </row>
    <row r="117" spans="1:2" x14ac:dyDescent="0.3">
      <c r="A117" s="1">
        <v>114</v>
      </c>
      <c r="B117" s="1" t="s">
        <v>116</v>
      </c>
    </row>
    <row r="118" spans="1:2" x14ac:dyDescent="0.3">
      <c r="A118" s="1">
        <v>115</v>
      </c>
      <c r="B118" s="1" t="s">
        <v>117</v>
      </c>
    </row>
    <row r="119" spans="1:2" x14ac:dyDescent="0.3">
      <c r="A119" s="1">
        <v>116</v>
      </c>
      <c r="B119" s="1" t="s">
        <v>118</v>
      </c>
    </row>
    <row r="120" spans="1:2" x14ac:dyDescent="0.3">
      <c r="A120" s="1">
        <v>117</v>
      </c>
      <c r="B120" s="1" t="s">
        <v>119</v>
      </c>
    </row>
    <row r="121" spans="1:2" x14ac:dyDescent="0.3">
      <c r="A121" s="1">
        <v>118</v>
      </c>
      <c r="B121" s="1" t="s">
        <v>120</v>
      </c>
    </row>
    <row r="122" spans="1:2" x14ac:dyDescent="0.3">
      <c r="A122" s="1">
        <v>119</v>
      </c>
      <c r="B122" s="1" t="s">
        <v>121</v>
      </c>
    </row>
    <row r="123" spans="1:2" x14ac:dyDescent="0.3">
      <c r="A123" s="1">
        <v>120</v>
      </c>
      <c r="B123" s="1" t="s">
        <v>122</v>
      </c>
    </row>
    <row r="124" spans="1:2" x14ac:dyDescent="0.3">
      <c r="A124" s="1">
        <v>121</v>
      </c>
      <c r="B124" s="1" t="s">
        <v>123</v>
      </c>
    </row>
    <row r="125" spans="1:2" x14ac:dyDescent="0.3">
      <c r="A125" s="1">
        <v>122</v>
      </c>
      <c r="B125" s="1" t="s">
        <v>124</v>
      </c>
    </row>
    <row r="126" spans="1:2" x14ac:dyDescent="0.3">
      <c r="A126" s="1">
        <v>123</v>
      </c>
      <c r="B126" s="1" t="s">
        <v>125</v>
      </c>
    </row>
    <row r="127" spans="1:2" x14ac:dyDescent="0.3">
      <c r="A127" s="1">
        <v>124</v>
      </c>
      <c r="B127" s="1" t="s">
        <v>126</v>
      </c>
    </row>
    <row r="128" spans="1:2" x14ac:dyDescent="0.3">
      <c r="A128" s="1">
        <v>125</v>
      </c>
      <c r="B128" s="1" t="s">
        <v>127</v>
      </c>
    </row>
    <row r="129" spans="1:2" x14ac:dyDescent="0.3">
      <c r="A129" s="1">
        <v>126</v>
      </c>
      <c r="B129" s="1" t="s">
        <v>128</v>
      </c>
    </row>
    <row r="130" spans="1:2" x14ac:dyDescent="0.3">
      <c r="A130" s="1">
        <v>127</v>
      </c>
      <c r="B130" s="1" t="s">
        <v>129</v>
      </c>
    </row>
    <row r="131" spans="1:2" x14ac:dyDescent="0.3">
      <c r="A131" s="1">
        <v>128</v>
      </c>
      <c r="B131" s="1" t="s">
        <v>130</v>
      </c>
    </row>
    <row r="132" spans="1:2" x14ac:dyDescent="0.3">
      <c r="A132" s="1">
        <v>129</v>
      </c>
      <c r="B132" s="1" t="s">
        <v>131</v>
      </c>
    </row>
    <row r="133" spans="1:2" x14ac:dyDescent="0.3">
      <c r="A133" s="1">
        <v>130</v>
      </c>
      <c r="B133" s="1" t="s">
        <v>132</v>
      </c>
    </row>
    <row r="134" spans="1:2" x14ac:dyDescent="0.3">
      <c r="A134" s="1">
        <v>131</v>
      </c>
      <c r="B134" s="1" t="s">
        <v>133</v>
      </c>
    </row>
    <row r="135" spans="1:2" x14ac:dyDescent="0.3">
      <c r="A135" s="1">
        <v>132</v>
      </c>
      <c r="B135" s="1" t="s">
        <v>134</v>
      </c>
    </row>
    <row r="136" spans="1:2" x14ac:dyDescent="0.3">
      <c r="A136" s="1">
        <v>133</v>
      </c>
      <c r="B136" s="1" t="s">
        <v>135</v>
      </c>
    </row>
    <row r="137" spans="1:2" x14ac:dyDescent="0.3">
      <c r="A137" s="1">
        <v>134</v>
      </c>
      <c r="B137" s="1" t="s">
        <v>136</v>
      </c>
    </row>
    <row r="138" spans="1:2" x14ac:dyDescent="0.3">
      <c r="A138" s="1">
        <v>135</v>
      </c>
      <c r="B138" s="1" t="s">
        <v>137</v>
      </c>
    </row>
    <row r="139" spans="1:2" x14ac:dyDescent="0.3">
      <c r="A139" s="1">
        <v>136</v>
      </c>
      <c r="B139" s="1" t="s">
        <v>138</v>
      </c>
    </row>
    <row r="140" spans="1:2" x14ac:dyDescent="0.3">
      <c r="A140" s="1">
        <v>137</v>
      </c>
      <c r="B140" s="1" t="s">
        <v>139</v>
      </c>
    </row>
    <row r="141" spans="1:2" x14ac:dyDescent="0.3">
      <c r="A141" s="1">
        <v>138</v>
      </c>
      <c r="B141" s="1" t="s">
        <v>140</v>
      </c>
    </row>
    <row r="142" spans="1:2" x14ac:dyDescent="0.3">
      <c r="A142" s="1">
        <v>139</v>
      </c>
      <c r="B142" s="1" t="s">
        <v>141</v>
      </c>
    </row>
    <row r="143" spans="1:2" x14ac:dyDescent="0.3">
      <c r="A143" s="1">
        <v>140</v>
      </c>
      <c r="B143" s="1" t="s">
        <v>142</v>
      </c>
    </row>
    <row r="144" spans="1:2" x14ac:dyDescent="0.3">
      <c r="A144" s="1">
        <v>141</v>
      </c>
      <c r="B144" s="1" t="s">
        <v>143</v>
      </c>
    </row>
    <row r="145" spans="1:5" x14ac:dyDescent="0.3">
      <c r="A145" s="1">
        <v>142</v>
      </c>
      <c r="B145" s="1" t="s">
        <v>144</v>
      </c>
    </row>
    <row r="146" spans="1:5" x14ac:dyDescent="0.3">
      <c r="A146" s="1">
        <v>143</v>
      </c>
      <c r="B146" s="1" t="s">
        <v>147</v>
      </c>
    </row>
    <row r="147" spans="1:5" x14ac:dyDescent="0.3">
      <c r="A147" s="1">
        <v>144</v>
      </c>
      <c r="B147" s="1" t="s">
        <v>148</v>
      </c>
    </row>
    <row r="148" spans="1:5" x14ac:dyDescent="0.3">
      <c r="A148" s="1">
        <v>145</v>
      </c>
      <c r="B148" s="1" t="s">
        <v>150</v>
      </c>
    </row>
    <row r="149" spans="1:5" x14ac:dyDescent="0.3">
      <c r="A149" s="1">
        <v>146</v>
      </c>
      <c r="B149" s="1" t="s">
        <v>151</v>
      </c>
    </row>
    <row r="150" spans="1:5" x14ac:dyDescent="0.3">
      <c r="A150" s="1">
        <v>147</v>
      </c>
      <c r="B150" s="1" t="s">
        <v>152</v>
      </c>
    </row>
    <row r="151" spans="1:5" x14ac:dyDescent="0.3">
      <c r="A151" s="1">
        <v>148</v>
      </c>
      <c r="B151" s="1" t="s">
        <v>153</v>
      </c>
    </row>
    <row r="152" spans="1:5" x14ac:dyDescent="0.3">
      <c r="A152" s="1">
        <v>149</v>
      </c>
      <c r="B152" s="1" t="s">
        <v>145</v>
      </c>
    </row>
    <row r="153" spans="1:5" x14ac:dyDescent="0.3">
      <c r="A153" s="1">
        <v>150</v>
      </c>
      <c r="B153" s="1" t="s">
        <v>146</v>
      </c>
    </row>
    <row r="154" spans="1:5" x14ac:dyDescent="0.3">
      <c r="A154" s="1">
        <v>151</v>
      </c>
      <c r="B154" s="1" t="s">
        <v>149</v>
      </c>
      <c r="C154" s="1" t="s">
        <v>230</v>
      </c>
      <c r="D154" s="1" t="s">
        <v>440</v>
      </c>
      <c r="E154" s="3" t="s">
        <v>381</v>
      </c>
    </row>
    <row r="155" spans="1:5" x14ac:dyDescent="0.3">
      <c r="A155" s="1">
        <v>152</v>
      </c>
      <c r="B155" s="1" t="s">
        <v>154</v>
      </c>
    </row>
    <row r="156" spans="1:5" x14ac:dyDescent="0.3">
      <c r="A156" s="1">
        <v>153</v>
      </c>
      <c r="B156" s="1" t="s">
        <v>155</v>
      </c>
    </row>
    <row r="157" spans="1:5" x14ac:dyDescent="0.3">
      <c r="A157" s="1">
        <v>154</v>
      </c>
      <c r="B157" s="1" t="s">
        <v>156</v>
      </c>
    </row>
    <row r="158" spans="1:5" x14ac:dyDescent="0.3">
      <c r="A158" s="1">
        <v>155</v>
      </c>
      <c r="B158" s="1" t="s">
        <v>157</v>
      </c>
    </row>
    <row r="159" spans="1:5" x14ac:dyDescent="0.3">
      <c r="A159" s="1">
        <v>156</v>
      </c>
      <c r="B159" s="1" t="s">
        <v>158</v>
      </c>
    </row>
    <row r="160" spans="1:5" x14ac:dyDescent="0.3">
      <c r="A160" s="1">
        <v>157</v>
      </c>
      <c r="B160" s="1" t="s">
        <v>159</v>
      </c>
    </row>
    <row r="161" spans="1:5" x14ac:dyDescent="0.3">
      <c r="A161" s="1">
        <v>158</v>
      </c>
      <c r="B161" s="1" t="s">
        <v>160</v>
      </c>
    </row>
    <row r="162" spans="1:5" x14ac:dyDescent="0.3">
      <c r="A162" s="1">
        <v>159</v>
      </c>
      <c r="B162" s="1" t="s">
        <v>161</v>
      </c>
    </row>
    <row r="163" spans="1:5" x14ac:dyDescent="0.3">
      <c r="A163" s="1">
        <v>160</v>
      </c>
      <c r="B163" s="1" t="s">
        <v>162</v>
      </c>
      <c r="C163" s="1" t="s">
        <v>230</v>
      </c>
      <c r="D163" s="1" t="s">
        <v>440</v>
      </c>
      <c r="E163" s="3" t="s">
        <v>382</v>
      </c>
    </row>
    <row r="164" spans="1:5" x14ac:dyDescent="0.3">
      <c r="A164" s="1">
        <v>161</v>
      </c>
      <c r="B164" s="1" t="s">
        <v>163</v>
      </c>
    </row>
    <row r="165" spans="1:5" x14ac:dyDescent="0.3">
      <c r="A165" s="1">
        <v>162</v>
      </c>
      <c r="B165" s="1" t="s">
        <v>164</v>
      </c>
    </row>
    <row r="166" spans="1:5" x14ac:dyDescent="0.3">
      <c r="A166" s="1">
        <v>163</v>
      </c>
      <c r="B166" s="1" t="s">
        <v>165</v>
      </c>
    </row>
    <row r="167" spans="1:5" x14ac:dyDescent="0.3">
      <c r="A167" s="1">
        <v>164</v>
      </c>
      <c r="B167" s="1" t="s">
        <v>166</v>
      </c>
    </row>
    <row r="168" spans="1:5" x14ac:dyDescent="0.3">
      <c r="A168" s="1">
        <v>165</v>
      </c>
      <c r="B168" s="1" t="s">
        <v>167</v>
      </c>
    </row>
    <row r="169" spans="1:5" x14ac:dyDescent="0.3">
      <c r="A169" s="1">
        <v>166</v>
      </c>
      <c r="B169" s="1" t="s">
        <v>168</v>
      </c>
    </row>
    <row r="170" spans="1:5" x14ac:dyDescent="0.3">
      <c r="A170" s="1">
        <v>167</v>
      </c>
      <c r="B170" s="1" t="s">
        <v>169</v>
      </c>
    </row>
    <row r="171" spans="1:5" x14ac:dyDescent="0.3">
      <c r="A171" s="1">
        <v>168</v>
      </c>
      <c r="B171" s="1" t="s">
        <v>170</v>
      </c>
    </row>
    <row r="172" spans="1:5" x14ac:dyDescent="0.3">
      <c r="A172" s="1">
        <v>169</v>
      </c>
      <c r="B172" s="1" t="s">
        <v>171</v>
      </c>
    </row>
    <row r="173" spans="1:5" x14ac:dyDescent="0.3">
      <c r="A173" s="1">
        <v>170</v>
      </c>
      <c r="B173" s="1" t="s">
        <v>172</v>
      </c>
    </row>
    <row r="174" spans="1:5" x14ac:dyDescent="0.3">
      <c r="A174" s="1">
        <v>171</v>
      </c>
      <c r="B174" s="1" t="s">
        <v>173</v>
      </c>
    </row>
    <row r="175" spans="1:5" x14ac:dyDescent="0.3">
      <c r="A175" s="1">
        <v>172</v>
      </c>
      <c r="B175" s="1" t="s">
        <v>174</v>
      </c>
    </row>
    <row r="176" spans="1:5" x14ac:dyDescent="0.3">
      <c r="A176" s="1">
        <v>173</v>
      </c>
      <c r="B176" s="1" t="s">
        <v>175</v>
      </c>
    </row>
    <row r="177" spans="1:2" x14ac:dyDescent="0.3">
      <c r="A177" s="1">
        <v>174</v>
      </c>
      <c r="B177" s="1" t="s">
        <v>176</v>
      </c>
    </row>
    <row r="178" spans="1:2" x14ac:dyDescent="0.3">
      <c r="A178" s="1">
        <v>175</v>
      </c>
      <c r="B178" s="1" t="s">
        <v>177</v>
      </c>
    </row>
    <row r="179" spans="1:2" x14ac:dyDescent="0.3">
      <c r="A179" s="1">
        <v>176</v>
      </c>
      <c r="B179" s="1" t="s">
        <v>178</v>
      </c>
    </row>
    <row r="180" spans="1:2" x14ac:dyDescent="0.3">
      <c r="A180" s="1">
        <v>177</v>
      </c>
      <c r="B180" s="1" t="s">
        <v>179</v>
      </c>
    </row>
    <row r="181" spans="1:2" x14ac:dyDescent="0.3">
      <c r="A181" s="1">
        <v>178</v>
      </c>
      <c r="B181" s="1" t="s">
        <v>180</v>
      </c>
    </row>
    <row r="182" spans="1:2" x14ac:dyDescent="0.3">
      <c r="A182" s="1">
        <v>179</v>
      </c>
      <c r="B182" s="1" t="s">
        <v>181</v>
      </c>
    </row>
    <row r="183" spans="1:2" x14ac:dyDescent="0.3">
      <c r="A183" s="1">
        <v>180</v>
      </c>
      <c r="B183" s="1" t="s">
        <v>182</v>
      </c>
    </row>
    <row r="184" spans="1:2" x14ac:dyDescent="0.3">
      <c r="A184" s="1">
        <v>181</v>
      </c>
      <c r="B184" s="1" t="s">
        <v>183</v>
      </c>
    </row>
    <row r="185" spans="1:2" x14ac:dyDescent="0.3">
      <c r="A185" s="1">
        <v>182</v>
      </c>
      <c r="B185" s="1" t="s">
        <v>184</v>
      </c>
    </row>
    <row r="186" spans="1:2" x14ac:dyDescent="0.3">
      <c r="A186" s="1">
        <v>183</v>
      </c>
      <c r="B186" s="1" t="s">
        <v>185</v>
      </c>
    </row>
    <row r="187" spans="1:2" x14ac:dyDescent="0.3">
      <c r="A187" s="1">
        <v>184</v>
      </c>
      <c r="B187" s="1" t="s">
        <v>186</v>
      </c>
    </row>
    <row r="188" spans="1:2" x14ac:dyDescent="0.3">
      <c r="A188" s="1">
        <v>185</v>
      </c>
      <c r="B188" s="1" t="s">
        <v>187</v>
      </c>
    </row>
    <row r="189" spans="1:2" x14ac:dyDescent="0.3">
      <c r="A189" s="1">
        <v>186</v>
      </c>
      <c r="B189" s="1" t="s">
        <v>188</v>
      </c>
    </row>
    <row r="190" spans="1:2" x14ac:dyDescent="0.3">
      <c r="A190" s="1">
        <v>187</v>
      </c>
      <c r="B190" s="1" t="s">
        <v>189</v>
      </c>
    </row>
    <row r="191" spans="1:2" x14ac:dyDescent="0.3">
      <c r="A191" s="1">
        <v>188</v>
      </c>
      <c r="B191" s="1" t="s">
        <v>190</v>
      </c>
    </row>
    <row r="192" spans="1:2" x14ac:dyDescent="0.3">
      <c r="A192" s="1">
        <v>189</v>
      </c>
      <c r="B192" s="1" t="s">
        <v>191</v>
      </c>
    </row>
    <row r="193" spans="1:2" x14ac:dyDescent="0.3">
      <c r="A193" s="1">
        <v>190</v>
      </c>
      <c r="B193" s="1" t="s">
        <v>192</v>
      </c>
    </row>
    <row r="194" spans="1:2" x14ac:dyDescent="0.3">
      <c r="A194" s="1">
        <v>191</v>
      </c>
      <c r="B194" s="1" t="s">
        <v>193</v>
      </c>
    </row>
    <row r="195" spans="1:2" x14ac:dyDescent="0.3">
      <c r="A195" s="1">
        <v>192</v>
      </c>
      <c r="B195" s="1" t="s">
        <v>194</v>
      </c>
    </row>
    <row r="196" spans="1:2" x14ac:dyDescent="0.3">
      <c r="A196" s="1">
        <v>193</v>
      </c>
      <c r="B196" s="1" t="s">
        <v>195</v>
      </c>
    </row>
    <row r="197" spans="1:2" x14ac:dyDescent="0.3">
      <c r="A197" s="1">
        <v>194</v>
      </c>
      <c r="B197" s="1" t="s">
        <v>196</v>
      </c>
    </row>
    <row r="198" spans="1:2" x14ac:dyDescent="0.3">
      <c r="A198" s="1">
        <v>195</v>
      </c>
      <c r="B198" s="1" t="s">
        <v>197</v>
      </c>
    </row>
    <row r="199" spans="1:2" x14ac:dyDescent="0.3">
      <c r="A199" s="1">
        <v>196</v>
      </c>
      <c r="B199" s="1" t="s">
        <v>198</v>
      </c>
    </row>
    <row r="200" spans="1:2" x14ac:dyDescent="0.3">
      <c r="A200" s="1">
        <v>197</v>
      </c>
      <c r="B200" s="1" t="s">
        <v>199</v>
      </c>
    </row>
    <row r="201" spans="1:2" x14ac:dyDescent="0.3">
      <c r="A201" s="1">
        <v>198</v>
      </c>
      <c r="B201" s="1" t="s">
        <v>200</v>
      </c>
    </row>
    <row r="202" spans="1:2" x14ac:dyDescent="0.3">
      <c r="A202" s="1">
        <v>199</v>
      </c>
      <c r="B202" s="1" t="s">
        <v>201</v>
      </c>
    </row>
    <row r="203" spans="1:2" x14ac:dyDescent="0.3">
      <c r="A203" s="1">
        <v>200</v>
      </c>
      <c r="B203" s="1" t="s">
        <v>202</v>
      </c>
    </row>
    <row r="204" spans="1:2" x14ac:dyDescent="0.3">
      <c r="A204" s="1">
        <v>201</v>
      </c>
      <c r="B204" s="1" t="s">
        <v>203</v>
      </c>
    </row>
    <row r="205" spans="1:2" x14ac:dyDescent="0.3">
      <c r="A205" s="1">
        <v>202</v>
      </c>
      <c r="B205" s="1" t="s">
        <v>204</v>
      </c>
    </row>
    <row r="206" spans="1:2" x14ac:dyDescent="0.3">
      <c r="A206" s="1">
        <v>203</v>
      </c>
      <c r="B206" s="1" t="s">
        <v>205</v>
      </c>
    </row>
    <row r="207" spans="1:2" x14ac:dyDescent="0.3">
      <c r="A207" s="1">
        <v>204</v>
      </c>
      <c r="B207" s="1" t="s">
        <v>206</v>
      </c>
    </row>
    <row r="208" spans="1:2" x14ac:dyDescent="0.3">
      <c r="A208" s="1">
        <v>205</v>
      </c>
      <c r="B208" s="1" t="s">
        <v>207</v>
      </c>
    </row>
    <row r="209" spans="1:2" x14ac:dyDescent="0.3">
      <c r="A209" s="1">
        <v>206</v>
      </c>
      <c r="B209" s="1" t="s">
        <v>208</v>
      </c>
    </row>
    <row r="210" spans="1:2" x14ac:dyDescent="0.3">
      <c r="A210" s="1">
        <v>207</v>
      </c>
      <c r="B210" s="1" t="s">
        <v>209</v>
      </c>
    </row>
    <row r="211" spans="1:2" x14ac:dyDescent="0.3">
      <c r="A211" s="1">
        <v>208</v>
      </c>
      <c r="B211" s="1" t="s">
        <v>210</v>
      </c>
    </row>
    <row r="212" spans="1:2" x14ac:dyDescent="0.3">
      <c r="A212" s="1">
        <v>209</v>
      </c>
      <c r="B212" s="1" t="s">
        <v>211</v>
      </c>
    </row>
    <row r="213" spans="1:2" x14ac:dyDescent="0.3">
      <c r="A213" s="1">
        <v>210</v>
      </c>
      <c r="B213" s="1" t="s">
        <v>212</v>
      </c>
    </row>
    <row r="214" spans="1:2" x14ac:dyDescent="0.3">
      <c r="A214" s="1">
        <v>211</v>
      </c>
      <c r="B214" s="1" t="s">
        <v>213</v>
      </c>
    </row>
    <row r="215" spans="1:2" x14ac:dyDescent="0.3">
      <c r="A215" s="1">
        <v>212</v>
      </c>
      <c r="B215" s="1" t="s">
        <v>214</v>
      </c>
    </row>
    <row r="216" spans="1:2" x14ac:dyDescent="0.3">
      <c r="A216" s="1">
        <v>213</v>
      </c>
      <c r="B216" s="1" t="s">
        <v>215</v>
      </c>
    </row>
    <row r="217" spans="1:2" x14ac:dyDescent="0.3">
      <c r="A217" s="1">
        <v>214</v>
      </c>
      <c r="B217" s="1" t="s">
        <v>216</v>
      </c>
    </row>
    <row r="218" spans="1:2" x14ac:dyDescent="0.3">
      <c r="A218" s="1">
        <v>215</v>
      </c>
      <c r="B218" s="1" t="s">
        <v>217</v>
      </c>
    </row>
    <row r="219" spans="1:2" x14ac:dyDescent="0.3">
      <c r="A219" s="1">
        <v>216</v>
      </c>
      <c r="B219" s="1" t="s">
        <v>218</v>
      </c>
    </row>
    <row r="220" spans="1:2" x14ac:dyDescent="0.3">
      <c r="A220" s="1">
        <v>217</v>
      </c>
      <c r="B220" s="1" t="s">
        <v>219</v>
      </c>
    </row>
    <row r="221" spans="1:2" x14ac:dyDescent="0.3">
      <c r="A221" s="1">
        <v>218</v>
      </c>
    </row>
    <row r="222" spans="1:2" x14ac:dyDescent="0.3">
      <c r="A222" s="1">
        <v>219</v>
      </c>
    </row>
    <row r="223" spans="1:2" x14ac:dyDescent="0.3">
      <c r="A223" s="1">
        <v>220</v>
      </c>
    </row>
    <row r="224" spans="1:2" x14ac:dyDescent="0.3">
      <c r="A224" s="1">
        <v>221</v>
      </c>
    </row>
    <row r="225" spans="1:1" x14ac:dyDescent="0.3">
      <c r="A225" s="1">
        <v>222</v>
      </c>
    </row>
    <row r="226" spans="1:1" x14ac:dyDescent="0.3">
      <c r="A226" s="1">
        <v>223</v>
      </c>
    </row>
    <row r="227" spans="1:1" x14ac:dyDescent="0.3">
      <c r="A227" s="1">
        <v>224</v>
      </c>
    </row>
    <row r="228" spans="1:1" x14ac:dyDescent="0.3">
      <c r="A228" s="1">
        <v>225</v>
      </c>
    </row>
    <row r="229" spans="1:1" x14ac:dyDescent="0.3">
      <c r="A229" s="1">
        <v>226</v>
      </c>
    </row>
    <row r="230" spans="1:1" x14ac:dyDescent="0.3">
      <c r="A230" s="1">
        <v>227</v>
      </c>
    </row>
    <row r="231" spans="1:1" x14ac:dyDescent="0.3">
      <c r="A231" s="1">
        <v>228</v>
      </c>
    </row>
    <row r="232" spans="1:1" x14ac:dyDescent="0.3">
      <c r="A232" s="1">
        <v>229</v>
      </c>
    </row>
    <row r="233" spans="1:1" x14ac:dyDescent="0.3">
      <c r="A233" s="1">
        <v>230</v>
      </c>
    </row>
    <row r="234" spans="1:1" x14ac:dyDescent="0.3">
      <c r="A234" s="1">
        <v>231</v>
      </c>
    </row>
    <row r="235" spans="1:1" x14ac:dyDescent="0.3">
      <c r="A235" s="1">
        <v>232</v>
      </c>
    </row>
    <row r="236" spans="1:1" x14ac:dyDescent="0.3">
      <c r="A236" s="1">
        <v>233</v>
      </c>
    </row>
    <row r="237" spans="1:1" x14ac:dyDescent="0.3">
      <c r="A237" s="1">
        <v>234</v>
      </c>
    </row>
    <row r="238" spans="1:1" x14ac:dyDescent="0.3">
      <c r="A238" s="1">
        <v>235</v>
      </c>
    </row>
    <row r="239" spans="1:1" x14ac:dyDescent="0.3">
      <c r="A239" s="1">
        <v>236</v>
      </c>
    </row>
    <row r="240" spans="1:1" x14ac:dyDescent="0.3">
      <c r="A240" s="1">
        <v>237</v>
      </c>
    </row>
    <row r="241" spans="1:1" x14ac:dyDescent="0.3">
      <c r="A241" s="1">
        <v>238</v>
      </c>
    </row>
    <row r="242" spans="1:1" x14ac:dyDescent="0.3">
      <c r="A242" s="1">
        <v>239</v>
      </c>
    </row>
    <row r="243" spans="1:1" x14ac:dyDescent="0.3">
      <c r="A243" s="1">
        <v>240</v>
      </c>
    </row>
    <row r="244" spans="1:1" x14ac:dyDescent="0.3">
      <c r="A244" s="1">
        <v>241</v>
      </c>
    </row>
    <row r="245" spans="1:1" x14ac:dyDescent="0.3">
      <c r="A245" s="1">
        <v>242</v>
      </c>
    </row>
    <row r="246" spans="1:1" x14ac:dyDescent="0.3">
      <c r="A246" s="1">
        <v>243</v>
      </c>
    </row>
    <row r="247" spans="1:1" x14ac:dyDescent="0.3">
      <c r="A247" s="1">
        <v>244</v>
      </c>
    </row>
    <row r="248" spans="1:1" x14ac:dyDescent="0.3">
      <c r="A248" s="1">
        <v>245</v>
      </c>
    </row>
    <row r="249" spans="1:1" x14ac:dyDescent="0.3">
      <c r="A249" s="1">
        <v>246</v>
      </c>
    </row>
    <row r="250" spans="1:1" x14ac:dyDescent="0.3">
      <c r="A250" s="1">
        <v>247</v>
      </c>
    </row>
    <row r="251" spans="1:1" x14ac:dyDescent="0.3">
      <c r="A251" s="1">
        <v>248</v>
      </c>
    </row>
    <row r="252" spans="1:1" x14ac:dyDescent="0.3">
      <c r="A252" s="1">
        <v>249</v>
      </c>
    </row>
    <row r="253" spans="1:1" x14ac:dyDescent="0.3">
      <c r="A253" s="1">
        <v>250</v>
      </c>
    </row>
    <row r="254" spans="1:1" x14ac:dyDescent="0.3">
      <c r="A254" s="1">
        <v>251</v>
      </c>
    </row>
    <row r="255" spans="1:1" x14ac:dyDescent="0.3">
      <c r="A255" s="1">
        <v>252</v>
      </c>
    </row>
    <row r="256" spans="1:1" x14ac:dyDescent="0.3">
      <c r="A256" s="1">
        <v>253</v>
      </c>
    </row>
    <row r="257" spans="1:1" x14ac:dyDescent="0.3">
      <c r="A257" s="1">
        <v>254</v>
      </c>
    </row>
  </sheetData>
  <mergeCells count="5">
    <mergeCell ref="F3:F8"/>
    <mergeCell ref="F15:F39"/>
    <mergeCell ref="F40:F42"/>
    <mergeCell ref="F44:F46"/>
    <mergeCell ref="F47:F4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DD04-F9F6-4C2E-AEE5-7EE00C39A088}">
  <dimension ref="A2:U20"/>
  <sheetViews>
    <sheetView workbookViewId="0">
      <selection activeCell="W9" sqref="W9"/>
    </sheetView>
  </sheetViews>
  <sheetFormatPr baseColWidth="10" defaultRowHeight="14.4" x14ac:dyDescent="0.3"/>
  <cols>
    <col min="2" max="2" width="6.44140625" style="1" customWidth="1"/>
    <col min="3" max="3" width="2.5546875" customWidth="1"/>
    <col min="4" max="11" width="5.6640625" customWidth="1"/>
    <col min="12" max="12" width="3.5546875" customWidth="1"/>
    <col min="13" max="13" width="11.44140625" style="1"/>
    <col min="14" max="21" width="5.6640625" customWidth="1"/>
  </cols>
  <sheetData>
    <row r="2" spans="1:21" x14ac:dyDescent="0.3">
      <c r="D2" s="118" t="s">
        <v>401</v>
      </c>
      <c r="E2" s="118"/>
      <c r="F2" s="118"/>
      <c r="G2" s="5" t="s">
        <v>403</v>
      </c>
      <c r="H2" s="119" t="s">
        <v>402</v>
      </c>
      <c r="I2" s="119"/>
      <c r="J2" s="119"/>
      <c r="K2" s="5" t="s">
        <v>404</v>
      </c>
      <c r="M2" s="1" t="s">
        <v>405</v>
      </c>
      <c r="N2" s="118" t="s">
        <v>401</v>
      </c>
      <c r="O2" s="118"/>
      <c r="P2" s="118"/>
      <c r="Q2" s="5" t="s">
        <v>403</v>
      </c>
      <c r="R2" s="119" t="s">
        <v>402</v>
      </c>
      <c r="S2" s="119"/>
      <c r="T2" s="119"/>
      <c r="U2" s="5" t="s">
        <v>404</v>
      </c>
    </row>
    <row r="3" spans="1:21" x14ac:dyDescent="0.3">
      <c r="B3" s="1" t="s">
        <v>387</v>
      </c>
      <c r="D3" s="6" t="s">
        <v>396</v>
      </c>
      <c r="E3" s="6" t="s">
        <v>397</v>
      </c>
      <c r="F3" s="6" t="s">
        <v>398</v>
      </c>
      <c r="G3" s="6" t="s">
        <v>399</v>
      </c>
      <c r="H3" s="6" t="s">
        <v>400</v>
      </c>
      <c r="I3" s="6" t="s">
        <v>395</v>
      </c>
      <c r="J3" s="6" t="s">
        <v>394</v>
      </c>
      <c r="K3" s="6" t="s">
        <v>227</v>
      </c>
      <c r="N3" s="6" t="s">
        <v>396</v>
      </c>
      <c r="O3" s="6" t="s">
        <v>397</v>
      </c>
      <c r="P3" s="6" t="s">
        <v>398</v>
      </c>
      <c r="Q3" s="6" t="s">
        <v>399</v>
      </c>
      <c r="R3" s="6" t="s">
        <v>400</v>
      </c>
      <c r="S3" s="6" t="s">
        <v>395</v>
      </c>
      <c r="T3" s="6" t="s">
        <v>394</v>
      </c>
      <c r="U3" s="6" t="s">
        <v>227</v>
      </c>
    </row>
    <row r="4" spans="1:21" x14ac:dyDescent="0.3">
      <c r="A4" t="s">
        <v>388</v>
      </c>
      <c r="B4" s="1">
        <v>10</v>
      </c>
      <c r="D4" s="8"/>
      <c r="E4" s="8"/>
      <c r="F4" s="8" t="s">
        <v>377</v>
      </c>
      <c r="G4" s="9">
        <v>1</v>
      </c>
      <c r="H4" s="10"/>
      <c r="I4" s="10"/>
      <c r="J4" s="10"/>
      <c r="K4" s="9"/>
      <c r="M4" s="1">
        <v>0</v>
      </c>
      <c r="N4" s="8"/>
      <c r="O4" s="8"/>
      <c r="P4" s="8" t="s">
        <v>377</v>
      </c>
      <c r="Q4" s="9"/>
      <c r="R4" s="10"/>
      <c r="S4" s="10"/>
      <c r="T4" s="10"/>
      <c r="U4" s="9"/>
    </row>
    <row r="5" spans="1:21" x14ac:dyDescent="0.3">
      <c r="A5" t="s">
        <v>226</v>
      </c>
      <c r="B5" s="1">
        <v>30</v>
      </c>
      <c r="D5" s="8" t="s">
        <v>377</v>
      </c>
      <c r="E5" s="8"/>
      <c r="F5" s="8">
        <v>1</v>
      </c>
      <c r="G5" s="9">
        <v>1</v>
      </c>
      <c r="H5" s="10"/>
      <c r="I5" s="10"/>
      <c r="J5" s="10"/>
      <c r="K5" s="9"/>
      <c r="M5" s="1">
        <v>20</v>
      </c>
      <c r="N5" s="8" t="s">
        <v>377</v>
      </c>
      <c r="O5" s="8"/>
      <c r="P5" s="8">
        <v>1</v>
      </c>
      <c r="Q5" s="9"/>
      <c r="R5" s="10"/>
      <c r="S5" s="10"/>
      <c r="T5" s="10"/>
      <c r="U5" s="9"/>
    </row>
    <row r="6" spans="1:21" x14ac:dyDescent="0.3">
      <c r="A6" t="s">
        <v>389</v>
      </c>
      <c r="B6" s="1">
        <v>50</v>
      </c>
      <c r="D6" s="8"/>
      <c r="E6" s="8">
        <v>1</v>
      </c>
      <c r="F6" s="8"/>
      <c r="G6" s="9">
        <v>1</v>
      </c>
      <c r="H6" s="10"/>
      <c r="I6" s="10"/>
      <c r="J6" s="10"/>
      <c r="K6" s="9"/>
      <c r="M6" s="1">
        <v>40</v>
      </c>
      <c r="N6" s="8"/>
      <c r="O6" s="8">
        <v>1</v>
      </c>
      <c r="P6" s="8"/>
      <c r="Q6" s="9"/>
      <c r="R6" s="10"/>
      <c r="S6" s="10"/>
      <c r="T6" s="10"/>
      <c r="U6" s="9"/>
    </row>
    <row r="7" spans="1:21" x14ac:dyDescent="0.3">
      <c r="A7" t="s">
        <v>227</v>
      </c>
      <c r="B7" s="1">
        <v>70</v>
      </c>
      <c r="D7" s="8"/>
      <c r="E7" s="8">
        <v>1</v>
      </c>
      <c r="F7" s="8">
        <v>1</v>
      </c>
      <c r="G7" s="9">
        <v>1</v>
      </c>
      <c r="H7" s="10"/>
      <c r="I7" s="10"/>
      <c r="J7" s="10"/>
      <c r="K7" s="9"/>
      <c r="M7" s="1">
        <v>60</v>
      </c>
      <c r="N7" s="8"/>
      <c r="O7" s="8">
        <v>1</v>
      </c>
      <c r="P7" s="8">
        <v>1</v>
      </c>
      <c r="Q7" s="9"/>
      <c r="R7" s="10"/>
      <c r="S7" s="10"/>
      <c r="T7" s="10"/>
      <c r="U7" s="9"/>
    </row>
    <row r="8" spans="1:21" x14ac:dyDescent="0.3">
      <c r="A8" t="s">
        <v>390</v>
      </c>
      <c r="B8" s="1">
        <v>15</v>
      </c>
      <c r="D8" s="8" t="s">
        <v>377</v>
      </c>
      <c r="E8" s="8"/>
      <c r="F8" s="8"/>
      <c r="G8" s="9">
        <v>1</v>
      </c>
      <c r="H8" s="10"/>
      <c r="I8" s="10">
        <v>1</v>
      </c>
      <c r="J8" s="10"/>
      <c r="K8" s="9">
        <v>1</v>
      </c>
      <c r="M8" s="1">
        <v>5</v>
      </c>
      <c r="N8" s="8" t="s">
        <v>377</v>
      </c>
      <c r="O8" s="8"/>
      <c r="P8" s="8"/>
      <c r="Q8" s="9"/>
      <c r="R8" s="10"/>
      <c r="S8" s="10">
        <v>1</v>
      </c>
      <c r="T8" s="10"/>
      <c r="U8" s="9">
        <v>1</v>
      </c>
    </row>
    <row r="9" spans="1:21" x14ac:dyDescent="0.3">
      <c r="A9" t="s">
        <v>392</v>
      </c>
      <c r="B9" s="1">
        <v>37</v>
      </c>
      <c r="D9" s="8" t="s">
        <v>377</v>
      </c>
      <c r="E9" s="8"/>
      <c r="F9" s="8">
        <v>1</v>
      </c>
      <c r="G9" s="9">
        <v>1</v>
      </c>
      <c r="H9" s="10"/>
      <c r="I9" s="10">
        <v>1</v>
      </c>
      <c r="J9" s="10">
        <v>1</v>
      </c>
      <c r="K9" s="9">
        <v>1</v>
      </c>
      <c r="M9" s="1">
        <v>7</v>
      </c>
      <c r="N9" s="8" t="s">
        <v>377</v>
      </c>
      <c r="O9" s="8"/>
      <c r="P9" s="8">
        <v>1</v>
      </c>
      <c r="Q9" s="9"/>
      <c r="R9" s="10"/>
      <c r="S9" s="10">
        <v>1</v>
      </c>
      <c r="T9" s="10">
        <v>1</v>
      </c>
      <c r="U9" s="9">
        <v>1</v>
      </c>
    </row>
    <row r="10" spans="1:21" x14ac:dyDescent="0.3">
      <c r="A10" t="s">
        <v>391</v>
      </c>
      <c r="D10" s="8"/>
      <c r="E10" s="8"/>
      <c r="F10" s="8"/>
      <c r="G10" s="9"/>
      <c r="H10" s="10"/>
      <c r="I10" s="10"/>
      <c r="J10" s="10"/>
      <c r="K10" s="9"/>
      <c r="N10" s="8"/>
      <c r="O10" s="8"/>
      <c r="P10" s="8"/>
      <c r="Q10" s="9"/>
      <c r="R10" s="10"/>
      <c r="S10" s="10"/>
      <c r="T10" s="10"/>
      <c r="U10" s="9"/>
    </row>
    <row r="11" spans="1:21" x14ac:dyDescent="0.3">
      <c r="A11" t="s">
        <v>393</v>
      </c>
      <c r="D11" s="8"/>
      <c r="E11" s="8"/>
      <c r="F11" s="8"/>
      <c r="G11" s="9"/>
      <c r="H11" s="10"/>
      <c r="I11" s="10"/>
      <c r="J11" s="10"/>
      <c r="K11" s="9"/>
      <c r="N11" s="8"/>
      <c r="O11" s="8"/>
      <c r="P11" s="8"/>
      <c r="Q11" s="9"/>
      <c r="R11" s="10"/>
      <c r="S11" s="10"/>
      <c r="T11" s="10"/>
      <c r="U11" s="9"/>
    </row>
    <row r="12" spans="1:21" x14ac:dyDescent="0.3">
      <c r="A12" t="s">
        <v>850</v>
      </c>
      <c r="B12" s="1" t="s">
        <v>851</v>
      </c>
      <c r="D12" s="8">
        <v>1</v>
      </c>
      <c r="E12" s="8">
        <v>1</v>
      </c>
      <c r="F12" s="8">
        <v>1</v>
      </c>
      <c r="G12" s="9">
        <v>1</v>
      </c>
      <c r="H12" s="10">
        <v>0</v>
      </c>
      <c r="I12" s="10">
        <v>0</v>
      </c>
      <c r="J12" s="10">
        <v>0</v>
      </c>
      <c r="K12" s="9">
        <v>0</v>
      </c>
      <c r="M12" s="1" t="s">
        <v>852</v>
      </c>
      <c r="N12" s="8">
        <v>1</v>
      </c>
      <c r="O12" s="8">
        <v>1</v>
      </c>
      <c r="P12" s="8">
        <v>1</v>
      </c>
      <c r="Q12" s="9">
        <v>0</v>
      </c>
      <c r="R12" s="10">
        <v>0</v>
      </c>
      <c r="S12" s="10">
        <v>0</v>
      </c>
      <c r="T12" s="10">
        <v>0</v>
      </c>
      <c r="U12" s="9">
        <v>0</v>
      </c>
    </row>
    <row r="20" spans="5:5" x14ac:dyDescent="0.3">
      <c r="E20" t="s">
        <v>377</v>
      </c>
    </row>
  </sheetData>
  <mergeCells count="4">
    <mergeCell ref="D2:F2"/>
    <mergeCell ref="H2:J2"/>
    <mergeCell ref="N2:P2"/>
    <mergeCell ref="R2:T2"/>
  </mergeCells>
  <phoneticPr fontId="1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1199-429B-4B77-A3F5-2C8746460C03}">
  <dimension ref="A1:BW125"/>
  <sheetViews>
    <sheetView topLeftCell="AH1" workbookViewId="0">
      <pane ySplit="7" topLeftCell="A107" activePane="bottomLeft" state="frozen"/>
      <selection pane="bottomLeft" activeCell="AJ121" sqref="AJ121:AQ121"/>
    </sheetView>
  </sheetViews>
  <sheetFormatPr baseColWidth="10" defaultRowHeight="14.4" x14ac:dyDescent="0.3"/>
  <cols>
    <col min="3" max="3" width="11.44140625" style="15"/>
    <col min="4" max="74" width="4.6640625" customWidth="1"/>
    <col min="75" max="75" width="5" customWidth="1"/>
  </cols>
  <sheetData>
    <row r="1" spans="2:35" x14ac:dyDescent="0.3"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2:35" x14ac:dyDescent="0.3">
      <c r="C2" s="15" t="s">
        <v>415</v>
      </c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</row>
    <row r="4" spans="2:35" x14ac:dyDescent="0.3">
      <c r="C4" s="15" t="s">
        <v>416</v>
      </c>
      <c r="D4" s="132" t="s">
        <v>420</v>
      </c>
      <c r="E4" s="132"/>
      <c r="F4" s="132"/>
      <c r="G4" s="132"/>
      <c r="H4" s="132"/>
      <c r="I4" s="132"/>
      <c r="J4" s="132"/>
      <c r="K4" s="132"/>
      <c r="L4" s="132" t="s">
        <v>419</v>
      </c>
      <c r="M4" s="132"/>
      <c r="N4" s="132"/>
      <c r="O4" s="132"/>
      <c r="P4" s="132"/>
      <c r="Q4" s="132"/>
      <c r="R4" s="132"/>
      <c r="S4" s="132"/>
      <c r="T4" s="132" t="s">
        <v>418</v>
      </c>
      <c r="U4" s="132"/>
      <c r="V4" s="132"/>
      <c r="W4" s="132"/>
      <c r="X4" s="132"/>
      <c r="Y4" s="132"/>
      <c r="Z4" s="132"/>
      <c r="AA4" s="132"/>
      <c r="AB4" s="132" t="s">
        <v>417</v>
      </c>
      <c r="AC4" s="132"/>
      <c r="AD4" s="132"/>
      <c r="AE4" s="132"/>
      <c r="AF4" s="132"/>
      <c r="AG4" s="132"/>
      <c r="AH4" s="132"/>
      <c r="AI4" s="132"/>
    </row>
    <row r="5" spans="2:35" x14ac:dyDescent="0.3">
      <c r="C5" s="15" t="s">
        <v>415</v>
      </c>
      <c r="D5" s="7">
        <v>0</v>
      </c>
      <c r="E5" s="7">
        <v>1</v>
      </c>
      <c r="F5" s="7">
        <v>2</v>
      </c>
      <c r="G5" s="7">
        <v>3</v>
      </c>
      <c r="H5" s="7">
        <v>4</v>
      </c>
      <c r="I5" s="7">
        <v>5</v>
      </c>
      <c r="J5" s="7">
        <v>6</v>
      </c>
      <c r="K5" s="7">
        <v>7</v>
      </c>
      <c r="L5" s="7">
        <v>8</v>
      </c>
      <c r="M5" s="7">
        <v>9</v>
      </c>
      <c r="N5" s="7">
        <v>10</v>
      </c>
      <c r="O5" s="7">
        <v>11</v>
      </c>
      <c r="P5" s="7">
        <v>12</v>
      </c>
      <c r="Q5" s="7">
        <v>13</v>
      </c>
      <c r="R5" s="7">
        <v>14</v>
      </c>
      <c r="S5" s="7">
        <v>15</v>
      </c>
      <c r="T5" s="7">
        <v>16</v>
      </c>
      <c r="U5" s="7">
        <v>17</v>
      </c>
      <c r="V5" s="7">
        <v>18</v>
      </c>
      <c r="W5" s="7">
        <v>19</v>
      </c>
      <c r="X5" s="7">
        <v>20</v>
      </c>
      <c r="Y5" s="7">
        <v>21</v>
      </c>
      <c r="Z5" s="7">
        <v>22</v>
      </c>
      <c r="AA5" s="7">
        <v>23</v>
      </c>
      <c r="AB5" s="7">
        <v>24</v>
      </c>
      <c r="AC5" s="7">
        <v>25</v>
      </c>
      <c r="AD5" s="7">
        <v>26</v>
      </c>
      <c r="AE5" s="7">
        <v>27</v>
      </c>
      <c r="AF5" s="7">
        <v>28</v>
      </c>
      <c r="AG5" s="7">
        <v>29</v>
      </c>
      <c r="AH5" s="7">
        <v>30</v>
      </c>
      <c r="AI5" s="7">
        <v>31</v>
      </c>
    </row>
    <row r="6" spans="2:35" x14ac:dyDescent="0.3">
      <c r="B6" t="s">
        <v>437</v>
      </c>
      <c r="C6" s="15" t="s">
        <v>421</v>
      </c>
      <c r="D6" s="6">
        <v>7</v>
      </c>
      <c r="E6" s="6">
        <v>6</v>
      </c>
      <c r="F6" s="6">
        <v>5</v>
      </c>
      <c r="G6" s="6">
        <v>4</v>
      </c>
      <c r="H6" s="6">
        <v>3</v>
      </c>
      <c r="I6" s="6">
        <v>2</v>
      </c>
      <c r="J6" s="6">
        <v>1</v>
      </c>
      <c r="K6" s="6">
        <v>0</v>
      </c>
      <c r="L6" s="11">
        <v>7</v>
      </c>
      <c r="M6" s="11">
        <v>6</v>
      </c>
      <c r="N6" s="11">
        <v>5</v>
      </c>
      <c r="O6" s="11">
        <v>4</v>
      </c>
      <c r="P6" s="11">
        <v>3</v>
      </c>
      <c r="Q6" s="11">
        <v>2</v>
      </c>
      <c r="R6" s="11">
        <v>1</v>
      </c>
      <c r="S6" s="11">
        <v>0</v>
      </c>
      <c r="T6" s="12">
        <v>7</v>
      </c>
      <c r="U6" s="12">
        <v>6</v>
      </c>
      <c r="V6" s="12">
        <v>5</v>
      </c>
      <c r="W6" s="12">
        <v>4</v>
      </c>
      <c r="X6" s="12">
        <v>3</v>
      </c>
      <c r="Y6" s="12">
        <v>2</v>
      </c>
      <c r="Z6" s="12">
        <v>1</v>
      </c>
      <c r="AA6" s="12">
        <v>0</v>
      </c>
      <c r="AB6" s="13">
        <v>7</v>
      </c>
      <c r="AC6" s="13">
        <v>6</v>
      </c>
      <c r="AD6" s="13">
        <v>5</v>
      </c>
      <c r="AE6" s="13">
        <v>4</v>
      </c>
      <c r="AF6" s="13">
        <v>3</v>
      </c>
      <c r="AG6" s="13">
        <v>2</v>
      </c>
      <c r="AH6" s="13">
        <v>1</v>
      </c>
      <c r="AI6" s="13">
        <v>0</v>
      </c>
    </row>
    <row r="7" spans="2:35" x14ac:dyDescent="0.3">
      <c r="B7" t="s">
        <v>438</v>
      </c>
      <c r="C7" s="15" t="s">
        <v>454</v>
      </c>
      <c r="D7" s="6">
        <v>0</v>
      </c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11">
        <v>0</v>
      </c>
      <c r="M7" s="11">
        <v>1</v>
      </c>
      <c r="N7" s="11">
        <v>2</v>
      </c>
      <c r="O7" s="11">
        <v>3</v>
      </c>
      <c r="P7" s="11">
        <v>4</v>
      </c>
      <c r="Q7" s="11">
        <v>5</v>
      </c>
      <c r="R7" s="11">
        <v>6</v>
      </c>
      <c r="S7" s="11">
        <v>7</v>
      </c>
      <c r="T7" s="12">
        <v>0</v>
      </c>
      <c r="U7" s="12">
        <v>1</v>
      </c>
      <c r="V7" s="12">
        <v>2</v>
      </c>
      <c r="W7" s="12">
        <v>3</v>
      </c>
      <c r="X7" s="12">
        <v>4</v>
      </c>
      <c r="Y7" s="12">
        <v>5</v>
      </c>
      <c r="Z7" s="12">
        <v>6</v>
      </c>
      <c r="AA7" s="12">
        <v>7</v>
      </c>
      <c r="AB7" s="13">
        <v>0</v>
      </c>
      <c r="AC7" s="13">
        <v>1</v>
      </c>
      <c r="AD7" s="13">
        <v>2</v>
      </c>
      <c r="AE7" s="13">
        <v>3</v>
      </c>
      <c r="AF7" s="13">
        <v>4</v>
      </c>
      <c r="AG7" s="13">
        <v>5</v>
      </c>
      <c r="AH7" s="13">
        <v>6</v>
      </c>
      <c r="AI7" s="13">
        <v>7</v>
      </c>
    </row>
    <row r="8" spans="2:35" ht="6.75" customHeight="1" x14ac:dyDescent="0.3"/>
    <row r="9" spans="2:35" x14ac:dyDescent="0.3">
      <c r="B9" t="s">
        <v>162</v>
      </c>
      <c r="D9" s="133" t="s">
        <v>359</v>
      </c>
      <c r="E9" s="133"/>
      <c r="F9" s="133"/>
      <c r="G9" s="133"/>
      <c r="H9" s="133"/>
      <c r="I9" s="133"/>
      <c r="J9" s="133"/>
      <c r="K9" s="133"/>
      <c r="L9" s="133" t="s">
        <v>422</v>
      </c>
      <c r="M9" s="133"/>
      <c r="N9" s="133"/>
      <c r="O9" s="133"/>
      <c r="P9" s="133"/>
      <c r="Q9" s="133"/>
      <c r="R9" s="133"/>
      <c r="S9" s="133"/>
      <c r="T9" s="133" t="s">
        <v>423</v>
      </c>
      <c r="U9" s="133"/>
      <c r="V9" s="133"/>
      <c r="W9" s="133"/>
      <c r="X9" s="133"/>
      <c r="Y9" s="133"/>
      <c r="Z9" s="133"/>
      <c r="AA9" s="133"/>
      <c r="AB9" s="14" t="s">
        <v>424</v>
      </c>
      <c r="AC9" s="133" t="s">
        <v>425</v>
      </c>
      <c r="AD9" s="133"/>
      <c r="AE9" s="133"/>
      <c r="AF9" s="5" t="s">
        <v>230</v>
      </c>
      <c r="AG9" s="5" t="s">
        <v>230</v>
      </c>
      <c r="AH9" s="5" t="s">
        <v>230</v>
      </c>
      <c r="AI9" s="5" t="s">
        <v>230</v>
      </c>
    </row>
    <row r="10" spans="2:35" x14ac:dyDescent="0.3">
      <c r="C10" s="15" t="s">
        <v>426</v>
      </c>
      <c r="D10" s="134">
        <v>128</v>
      </c>
      <c r="E10" s="134"/>
      <c r="F10" s="134"/>
      <c r="G10" s="134"/>
      <c r="H10" s="134"/>
      <c r="I10" s="134"/>
      <c r="J10" s="134"/>
      <c r="K10" s="134"/>
      <c r="L10" s="134">
        <v>100</v>
      </c>
      <c r="M10" s="134"/>
      <c r="N10" s="134"/>
      <c r="O10" s="134"/>
      <c r="P10" s="134"/>
      <c r="Q10" s="134"/>
      <c r="R10" s="134"/>
      <c r="S10" s="134"/>
      <c r="T10" s="134">
        <v>128</v>
      </c>
      <c r="U10" s="134"/>
      <c r="V10" s="134"/>
      <c r="W10" s="134"/>
      <c r="X10" s="134"/>
      <c r="Y10" s="134"/>
      <c r="Z10" s="134"/>
      <c r="AA10" s="134"/>
      <c r="AB10" s="5">
        <v>1</v>
      </c>
      <c r="AC10" s="5">
        <v>0</v>
      </c>
      <c r="AD10" s="5">
        <v>1</v>
      </c>
      <c r="AE10" s="5">
        <v>1</v>
      </c>
      <c r="AF10" s="5">
        <v>0</v>
      </c>
      <c r="AG10" s="5">
        <v>0</v>
      </c>
      <c r="AH10" s="5">
        <v>0</v>
      </c>
      <c r="AI10" s="5">
        <v>0</v>
      </c>
    </row>
    <row r="11" spans="2:35" x14ac:dyDescent="0.3">
      <c r="C11" s="15" t="s">
        <v>427</v>
      </c>
      <c r="D11" s="134">
        <v>80</v>
      </c>
      <c r="E11" s="134"/>
      <c r="F11" s="134"/>
      <c r="G11" s="134"/>
      <c r="H11" s="134"/>
      <c r="I11" s="134"/>
      <c r="J11" s="134"/>
      <c r="K11" s="134"/>
      <c r="L11" s="134">
        <v>64</v>
      </c>
      <c r="M11" s="134"/>
      <c r="N11" s="134"/>
      <c r="O11" s="134"/>
      <c r="P11" s="134"/>
      <c r="Q11" s="134"/>
      <c r="R11" s="134"/>
      <c r="S11" s="134"/>
      <c r="T11" s="134">
        <v>80</v>
      </c>
      <c r="U11" s="134"/>
      <c r="V11" s="134"/>
      <c r="W11" s="134"/>
      <c r="X11" s="134"/>
      <c r="Y11" s="134"/>
      <c r="Z11" s="134"/>
      <c r="AA11" s="134"/>
      <c r="AB11" s="125"/>
      <c r="AC11" s="128"/>
      <c r="AD11" s="128"/>
      <c r="AE11" s="128"/>
      <c r="AF11" s="128"/>
      <c r="AG11" s="128"/>
      <c r="AH11" s="128"/>
      <c r="AI11" s="126"/>
    </row>
    <row r="12" spans="2:35" s="23" customFormat="1" ht="15" thickBot="1" x14ac:dyDescent="0.35">
      <c r="C12" s="24"/>
    </row>
    <row r="14" spans="2:35" x14ac:dyDescent="0.3">
      <c r="B14" t="s">
        <v>43</v>
      </c>
      <c r="D14" s="133" t="s">
        <v>428</v>
      </c>
      <c r="E14" s="133"/>
      <c r="F14" s="133"/>
      <c r="G14" s="133"/>
      <c r="H14" s="133"/>
      <c r="I14" s="133"/>
      <c r="J14" s="133"/>
      <c r="K14" s="133"/>
      <c r="L14" s="133" t="s">
        <v>429</v>
      </c>
      <c r="M14" s="133"/>
      <c r="N14" s="133"/>
      <c r="O14" s="133"/>
      <c r="P14" s="133"/>
      <c r="Q14" s="133"/>
      <c r="R14" s="133"/>
      <c r="S14" s="133"/>
      <c r="T14" s="133" t="s">
        <v>430</v>
      </c>
      <c r="U14" s="133"/>
      <c r="V14" s="133"/>
      <c r="W14" s="133"/>
      <c r="X14" s="133"/>
      <c r="Y14" s="133"/>
      <c r="Z14" s="133"/>
      <c r="AA14" s="133"/>
      <c r="AB14" s="5" t="s">
        <v>230</v>
      </c>
      <c r="AC14" s="5" t="s">
        <v>230</v>
      </c>
      <c r="AD14" s="5" t="s">
        <v>230</v>
      </c>
      <c r="AE14" s="5" t="s">
        <v>230</v>
      </c>
      <c r="AF14" s="14" t="s">
        <v>432</v>
      </c>
      <c r="AG14" s="5" t="s">
        <v>230</v>
      </c>
      <c r="AH14" s="5" t="s">
        <v>230</v>
      </c>
      <c r="AI14" s="14" t="s">
        <v>431</v>
      </c>
    </row>
    <row r="15" spans="2:35" x14ac:dyDescent="0.3">
      <c r="B15" t="s">
        <v>44</v>
      </c>
      <c r="C15" s="15" t="s">
        <v>426</v>
      </c>
      <c r="D15" s="134">
        <v>128</v>
      </c>
      <c r="E15" s="134"/>
      <c r="F15" s="134"/>
      <c r="G15" s="134"/>
      <c r="H15" s="134"/>
      <c r="I15" s="134"/>
      <c r="J15" s="134"/>
      <c r="K15" s="134"/>
      <c r="L15" s="134">
        <v>128</v>
      </c>
      <c r="M15" s="134"/>
      <c r="N15" s="134"/>
      <c r="O15" s="134"/>
      <c r="P15" s="134"/>
      <c r="Q15" s="134"/>
      <c r="R15" s="134"/>
      <c r="S15" s="134"/>
      <c r="T15" s="134">
        <v>128</v>
      </c>
      <c r="U15" s="134"/>
      <c r="V15" s="134"/>
      <c r="W15" s="134"/>
      <c r="X15" s="134"/>
      <c r="Y15" s="134"/>
      <c r="Z15" s="134"/>
      <c r="AA15" s="134"/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1</v>
      </c>
    </row>
    <row r="16" spans="2:35" x14ac:dyDescent="0.3">
      <c r="C16" s="15" t="s">
        <v>427</v>
      </c>
      <c r="D16" s="134">
        <v>80</v>
      </c>
      <c r="E16" s="134"/>
      <c r="F16" s="134"/>
      <c r="G16" s="134"/>
      <c r="H16" s="134"/>
      <c r="I16" s="134"/>
      <c r="J16" s="134"/>
      <c r="K16" s="134"/>
      <c r="L16" s="134">
        <v>0</v>
      </c>
      <c r="M16" s="134"/>
      <c r="N16" s="134"/>
      <c r="O16" s="134"/>
      <c r="P16" s="134"/>
      <c r="Q16" s="134"/>
      <c r="R16" s="134"/>
      <c r="S16" s="134"/>
      <c r="T16" s="134">
        <v>255</v>
      </c>
      <c r="U16" s="134"/>
      <c r="V16" s="134"/>
      <c r="W16" s="134"/>
      <c r="X16" s="134"/>
      <c r="Y16" s="134"/>
      <c r="Z16" s="134"/>
      <c r="AA16" s="134"/>
      <c r="AB16" s="125">
        <v>80</v>
      </c>
      <c r="AC16" s="128"/>
      <c r="AD16" s="128"/>
      <c r="AE16" s="128"/>
      <c r="AF16" s="128"/>
      <c r="AG16" s="128"/>
      <c r="AH16" s="128"/>
      <c r="AI16" s="126"/>
    </row>
    <row r="18" spans="1:53" x14ac:dyDescent="0.3">
      <c r="B18" t="s">
        <v>45</v>
      </c>
      <c r="D18" s="133" t="s">
        <v>433</v>
      </c>
      <c r="E18" s="133"/>
      <c r="F18" s="133"/>
      <c r="G18" s="133"/>
      <c r="H18" s="133"/>
      <c r="I18" s="133"/>
      <c r="J18" s="133"/>
      <c r="K18" s="133"/>
      <c r="L18" s="133" t="s">
        <v>434</v>
      </c>
      <c r="M18" s="133"/>
      <c r="N18" s="133"/>
      <c r="O18" s="133"/>
      <c r="P18" s="133"/>
      <c r="Q18" s="133"/>
      <c r="R18" s="133"/>
      <c r="S18" s="133"/>
      <c r="T18" s="133"/>
      <c r="U18" s="133"/>
      <c r="V18" s="5" t="s">
        <v>230</v>
      </c>
      <c r="W18" s="5" t="s">
        <v>230</v>
      </c>
      <c r="X18" s="5" t="s">
        <v>230</v>
      </c>
      <c r="Y18" s="5" t="s">
        <v>230</v>
      </c>
      <c r="Z18" s="5" t="s">
        <v>230</v>
      </c>
      <c r="AA18" s="5" t="s">
        <v>230</v>
      </c>
      <c r="AB18" s="5" t="s">
        <v>230</v>
      </c>
      <c r="AC18" s="5" t="s">
        <v>230</v>
      </c>
      <c r="AD18" s="5" t="s">
        <v>230</v>
      </c>
      <c r="AE18" s="5" t="s">
        <v>230</v>
      </c>
      <c r="AF18" s="14" t="s">
        <v>432</v>
      </c>
      <c r="AG18" s="5" t="s">
        <v>230</v>
      </c>
      <c r="AH18" s="5" t="s">
        <v>230</v>
      </c>
      <c r="AI18" s="5" t="s">
        <v>230</v>
      </c>
    </row>
    <row r="19" spans="1:53" x14ac:dyDescent="0.3">
      <c r="C19" s="15" t="s">
        <v>426</v>
      </c>
      <c r="D19" s="134">
        <v>128</v>
      </c>
      <c r="E19" s="134"/>
      <c r="F19" s="134"/>
      <c r="G19" s="134"/>
      <c r="H19" s="134"/>
      <c r="I19" s="134"/>
      <c r="J19" s="134"/>
      <c r="K19" s="134"/>
      <c r="L19" s="134">
        <v>999</v>
      </c>
      <c r="M19" s="134"/>
      <c r="N19" s="134"/>
      <c r="O19" s="134"/>
      <c r="P19" s="134"/>
      <c r="Q19" s="134"/>
      <c r="R19" s="134"/>
      <c r="S19" s="134"/>
      <c r="T19" s="134"/>
      <c r="U19" s="134"/>
      <c r="V19" s="5"/>
      <c r="W19" s="5"/>
      <c r="X19" s="5"/>
      <c r="Y19" s="5"/>
      <c r="Z19" s="5"/>
      <c r="AA19" s="5"/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0</v>
      </c>
      <c r="AH19" s="5">
        <v>0</v>
      </c>
      <c r="AI19" s="5">
        <v>0</v>
      </c>
    </row>
    <row r="20" spans="1:53" x14ac:dyDescent="0.3">
      <c r="D20" s="125"/>
      <c r="E20" s="128"/>
      <c r="F20" s="128"/>
      <c r="G20" s="128"/>
      <c r="H20" s="128"/>
      <c r="I20" s="128"/>
      <c r="J20" s="128"/>
      <c r="K20" s="126"/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9">
        <v>0</v>
      </c>
      <c r="R20" s="9">
        <v>0</v>
      </c>
      <c r="S20" s="9">
        <v>1</v>
      </c>
      <c r="T20" s="9">
        <v>1</v>
      </c>
      <c r="U20" s="9">
        <v>1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125"/>
      <c r="AC20" s="128"/>
      <c r="AD20" s="128"/>
      <c r="AE20" s="128"/>
      <c r="AF20" s="128"/>
      <c r="AG20" s="128"/>
      <c r="AH20" s="128"/>
      <c r="AI20" s="126"/>
    </row>
    <row r="21" spans="1:53" x14ac:dyDescent="0.3">
      <c r="C21" s="15" t="s">
        <v>427</v>
      </c>
      <c r="D21" s="134">
        <v>80</v>
      </c>
      <c r="E21" s="134"/>
      <c r="F21" s="134"/>
      <c r="G21" s="134"/>
      <c r="H21" s="134"/>
      <c r="I21" s="134"/>
      <c r="J21" s="134"/>
      <c r="K21" s="134"/>
      <c r="L21" s="134" t="s">
        <v>435</v>
      </c>
      <c r="M21" s="134"/>
      <c r="N21" s="134"/>
      <c r="O21" s="134"/>
      <c r="P21" s="134"/>
      <c r="Q21" s="134"/>
      <c r="R21" s="134"/>
      <c r="S21" s="134"/>
      <c r="T21" s="134" t="s">
        <v>436</v>
      </c>
      <c r="U21" s="134"/>
      <c r="V21" s="134"/>
      <c r="W21" s="134"/>
      <c r="X21" s="134"/>
      <c r="Y21" s="134"/>
      <c r="Z21" s="134"/>
      <c r="AA21" s="134"/>
      <c r="AB21" s="125">
        <v>8</v>
      </c>
      <c r="AC21" s="128"/>
      <c r="AD21" s="128"/>
      <c r="AE21" s="128"/>
      <c r="AF21" s="128"/>
      <c r="AG21" s="128"/>
      <c r="AH21" s="128"/>
      <c r="AI21" s="126"/>
    </row>
    <row r="22" spans="1:53" s="23" customFormat="1" ht="15" thickBot="1" x14ac:dyDescent="0.35">
      <c r="C22" s="24"/>
    </row>
    <row r="24" spans="1:53" x14ac:dyDescent="0.3">
      <c r="D24" s="133" t="s">
        <v>433</v>
      </c>
      <c r="E24" s="133"/>
      <c r="F24" s="133"/>
      <c r="G24" s="133"/>
      <c r="H24" s="133"/>
      <c r="I24" s="133"/>
      <c r="J24" s="133"/>
      <c r="K24" s="133"/>
      <c r="L24" s="122" t="s">
        <v>434</v>
      </c>
      <c r="M24" s="124"/>
      <c r="N24" s="124"/>
      <c r="O24" s="124"/>
      <c r="P24" s="124"/>
      <c r="Q24" s="124"/>
      <c r="R24" s="124"/>
      <c r="S24" s="124"/>
      <c r="T24" s="124"/>
      <c r="U24" s="124"/>
      <c r="V24" s="5"/>
      <c r="W24" s="5"/>
      <c r="X24" s="5"/>
      <c r="Y24" s="5"/>
      <c r="Z24" s="5"/>
      <c r="AA24" s="5"/>
      <c r="AB24" s="14" t="s">
        <v>345</v>
      </c>
      <c r="AC24" s="5"/>
      <c r="AD24" s="5"/>
      <c r="AE24" s="5"/>
      <c r="AF24" s="14" t="s">
        <v>432</v>
      </c>
      <c r="AG24" s="5"/>
      <c r="AH24" s="5"/>
      <c r="AI24" s="5"/>
    </row>
    <row r="25" spans="1:53" x14ac:dyDescent="0.3">
      <c r="B25" t="s">
        <v>48</v>
      </c>
      <c r="C25" s="15" t="s">
        <v>426</v>
      </c>
      <c r="D25" s="134">
        <v>128</v>
      </c>
      <c r="E25" s="134"/>
      <c r="F25" s="134"/>
      <c r="G25" s="134"/>
      <c r="H25" s="134"/>
      <c r="I25" s="134"/>
      <c r="J25" s="134"/>
      <c r="K25" s="134"/>
      <c r="L25" s="16">
        <v>0</v>
      </c>
      <c r="M25" s="17">
        <v>0</v>
      </c>
      <c r="N25" s="17">
        <v>1</v>
      </c>
      <c r="O25" s="17">
        <v>0</v>
      </c>
      <c r="P25" s="17">
        <v>0</v>
      </c>
      <c r="Q25" s="17">
        <v>0</v>
      </c>
      <c r="R25" s="17">
        <v>0</v>
      </c>
      <c r="S25" s="18">
        <v>0</v>
      </c>
      <c r="T25" s="16">
        <v>0</v>
      </c>
      <c r="U25" s="17">
        <v>1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8">
        <v>0</v>
      </c>
      <c r="AB25" s="5">
        <v>1</v>
      </c>
      <c r="AC25" s="5">
        <v>0</v>
      </c>
      <c r="AD25" s="5">
        <v>0</v>
      </c>
      <c r="AE25" s="5">
        <v>0</v>
      </c>
      <c r="AF25" s="5">
        <v>1</v>
      </c>
      <c r="AG25" s="5">
        <v>0</v>
      </c>
      <c r="AH25" s="5">
        <v>0</v>
      </c>
      <c r="AI25" s="5">
        <v>0</v>
      </c>
    </row>
    <row r="26" spans="1:53" x14ac:dyDescent="0.3">
      <c r="C26" s="15" t="s">
        <v>427</v>
      </c>
      <c r="D26" s="134" t="s">
        <v>226</v>
      </c>
      <c r="E26" s="134"/>
      <c r="F26" s="134"/>
      <c r="G26" s="134"/>
      <c r="H26" s="134"/>
      <c r="I26" s="134"/>
      <c r="J26" s="134"/>
      <c r="K26" s="134"/>
      <c r="L26" s="125">
        <v>20</v>
      </c>
      <c r="M26" s="128"/>
      <c r="N26" s="128"/>
      <c r="O26" s="128"/>
      <c r="P26" s="128"/>
      <c r="Q26" s="128"/>
      <c r="R26" s="128"/>
      <c r="S26" s="126"/>
      <c r="T26" s="125">
        <v>40</v>
      </c>
      <c r="U26" s="128"/>
      <c r="V26" s="128"/>
      <c r="W26" s="128"/>
      <c r="X26" s="128"/>
      <c r="Y26" s="128"/>
      <c r="Z26" s="128"/>
      <c r="AA26" s="126"/>
      <c r="AB26" s="125">
        <v>88</v>
      </c>
      <c r="AC26" s="128"/>
      <c r="AD26" s="128"/>
      <c r="AE26" s="128"/>
      <c r="AF26" s="128"/>
      <c r="AG26" s="128"/>
      <c r="AH26" s="128"/>
      <c r="AI26" s="126"/>
    </row>
    <row r="29" spans="1:53" x14ac:dyDescent="0.3">
      <c r="B29" t="s">
        <v>14</v>
      </c>
      <c r="D29" s="5" t="s">
        <v>230</v>
      </c>
      <c r="E29" s="5" t="s">
        <v>230</v>
      </c>
      <c r="F29" s="5" t="s">
        <v>230</v>
      </c>
      <c r="G29" s="5" t="s">
        <v>230</v>
      </c>
      <c r="H29" s="5" t="s">
        <v>230</v>
      </c>
      <c r="I29" s="5" t="s">
        <v>230</v>
      </c>
      <c r="J29" s="5" t="s">
        <v>230</v>
      </c>
      <c r="K29" s="5" t="s">
        <v>230</v>
      </c>
      <c r="L29" s="5" t="s">
        <v>230</v>
      </c>
      <c r="M29" s="5" t="s">
        <v>230</v>
      </c>
      <c r="N29" s="5" t="s">
        <v>230</v>
      </c>
      <c r="O29" s="5" t="s">
        <v>230</v>
      </c>
      <c r="P29" s="5" t="s">
        <v>230</v>
      </c>
      <c r="Q29" s="5" t="s">
        <v>230</v>
      </c>
      <c r="R29" s="5" t="s">
        <v>230</v>
      </c>
      <c r="S29" s="5" t="s">
        <v>230</v>
      </c>
      <c r="T29" s="122" t="s">
        <v>361</v>
      </c>
      <c r="U29" s="124"/>
      <c r="V29" s="124"/>
      <c r="W29" s="124"/>
      <c r="X29" s="124"/>
      <c r="Y29" s="124"/>
      <c r="Z29" s="124"/>
      <c r="AA29" s="123"/>
      <c r="AB29" s="5" t="s">
        <v>230</v>
      </c>
      <c r="AC29" s="5" t="s">
        <v>230</v>
      </c>
      <c r="AD29" s="5" t="s">
        <v>230</v>
      </c>
      <c r="AE29" s="5" t="s">
        <v>230</v>
      </c>
      <c r="AF29" s="14" t="s">
        <v>432</v>
      </c>
      <c r="AG29" s="5" t="s">
        <v>230</v>
      </c>
      <c r="AH29" s="5" t="s">
        <v>230</v>
      </c>
      <c r="AI29" s="5" t="s">
        <v>230</v>
      </c>
    </row>
    <row r="30" spans="1:53" x14ac:dyDescent="0.3">
      <c r="C30" s="15" t="s">
        <v>426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125">
        <v>128</v>
      </c>
      <c r="U30" s="128"/>
      <c r="V30" s="128"/>
      <c r="W30" s="128"/>
      <c r="X30" s="128"/>
      <c r="Y30" s="128"/>
      <c r="Z30" s="128"/>
      <c r="AA30" s="126"/>
      <c r="AB30" s="5"/>
      <c r="AC30" s="5"/>
      <c r="AD30" s="5"/>
      <c r="AE30" s="5"/>
      <c r="AF30" s="5"/>
      <c r="AG30" s="5"/>
      <c r="AH30" s="5"/>
      <c r="AI30" s="5"/>
    </row>
    <row r="31" spans="1:53" x14ac:dyDescent="0.3">
      <c r="C31" s="15" t="s">
        <v>427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125">
        <v>80</v>
      </c>
      <c r="U31" s="128"/>
      <c r="V31" s="128"/>
      <c r="W31" s="128"/>
      <c r="X31" s="128"/>
      <c r="Y31" s="128"/>
      <c r="Z31" s="128"/>
      <c r="AA31" s="126"/>
      <c r="AB31" s="5"/>
      <c r="AC31" s="5"/>
      <c r="AD31" s="5"/>
      <c r="AE31" s="5"/>
      <c r="AF31" s="5"/>
      <c r="AG31" s="5"/>
      <c r="AH31" s="5"/>
      <c r="AI31" s="5"/>
    </row>
    <row r="32" spans="1:53" ht="15" thickBot="1" x14ac:dyDescent="0.35">
      <c r="A32" s="23"/>
      <c r="B32" s="23"/>
      <c r="C32" s="24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Z32" s="23"/>
      <c r="BA32" s="23"/>
    </row>
    <row r="34" spans="1:53" x14ac:dyDescent="0.3">
      <c r="B34" t="s">
        <v>41</v>
      </c>
      <c r="D34" s="122" t="s">
        <v>364</v>
      </c>
      <c r="E34" s="124"/>
      <c r="F34" s="124"/>
      <c r="G34" s="124"/>
      <c r="H34" s="124"/>
      <c r="I34" s="124"/>
      <c r="J34" s="124"/>
      <c r="K34" s="123"/>
      <c r="L34" s="5" t="s">
        <v>230</v>
      </c>
      <c r="M34" s="5" t="s">
        <v>230</v>
      </c>
      <c r="N34" s="5" t="s">
        <v>230</v>
      </c>
      <c r="O34" s="5" t="s">
        <v>230</v>
      </c>
      <c r="P34" s="5" t="s">
        <v>230</v>
      </c>
      <c r="Q34" s="5" t="s">
        <v>230</v>
      </c>
      <c r="R34" s="122" t="s">
        <v>361</v>
      </c>
      <c r="S34" s="124"/>
      <c r="T34" s="124"/>
      <c r="U34" s="124"/>
      <c r="V34" s="124"/>
      <c r="W34" s="124"/>
      <c r="X34" s="124"/>
      <c r="Y34" s="124"/>
      <c r="Z34" s="124"/>
      <c r="AA34" s="123"/>
      <c r="AB34" s="5" t="s">
        <v>230</v>
      </c>
      <c r="AC34" s="5" t="s">
        <v>230</v>
      </c>
      <c r="AD34" s="5" t="s">
        <v>230</v>
      </c>
      <c r="AE34" s="5" t="s">
        <v>230</v>
      </c>
      <c r="AF34" s="14" t="s">
        <v>432</v>
      </c>
      <c r="AG34" s="5" t="s">
        <v>230</v>
      </c>
      <c r="AH34" s="5" t="s">
        <v>230</v>
      </c>
      <c r="AI34" s="5" t="s">
        <v>230</v>
      </c>
    </row>
    <row r="35" spans="1:53" x14ac:dyDescent="0.3">
      <c r="C35" s="15" t="s">
        <v>426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25">
        <v>1023</v>
      </c>
      <c r="S35" s="128"/>
      <c r="T35" s="128"/>
      <c r="U35" s="128"/>
      <c r="V35" s="128"/>
      <c r="W35" s="128"/>
      <c r="X35" s="128"/>
      <c r="Y35" s="128"/>
      <c r="Z35" s="128"/>
      <c r="AA35" s="126"/>
      <c r="AB35" s="5"/>
      <c r="AC35" s="5"/>
      <c r="AD35" s="5"/>
      <c r="AE35" s="5"/>
      <c r="AF35" s="5"/>
      <c r="AG35" s="5"/>
      <c r="AH35" s="5"/>
      <c r="AI35" s="5"/>
    </row>
    <row r="36" spans="1:53" x14ac:dyDescent="0.3">
      <c r="C36" s="15" t="s">
        <v>427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1</v>
      </c>
      <c r="S36" s="5">
        <v>1</v>
      </c>
      <c r="T36" s="125" t="s">
        <v>439</v>
      </c>
      <c r="U36" s="128"/>
      <c r="V36" s="128"/>
      <c r="W36" s="128"/>
      <c r="X36" s="128"/>
      <c r="Y36" s="128"/>
      <c r="Z36" s="128"/>
      <c r="AA36" s="126"/>
      <c r="AB36" s="5"/>
      <c r="AC36" s="5"/>
      <c r="AD36" s="5"/>
      <c r="AE36" s="5"/>
      <c r="AF36" s="5"/>
      <c r="AG36" s="5"/>
      <c r="AH36" s="5"/>
      <c r="AI36" s="5"/>
    </row>
    <row r="37" spans="1:53" ht="15" thickBot="1" x14ac:dyDescent="0.35">
      <c r="A37" s="23"/>
      <c r="B37" s="23"/>
      <c r="C37" s="24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Z37" s="23"/>
      <c r="BA37" s="23"/>
    </row>
    <row r="39" spans="1:53" x14ac:dyDescent="0.3">
      <c r="B39" t="s">
        <v>111</v>
      </c>
      <c r="D39" s="122" t="s">
        <v>443</v>
      </c>
      <c r="E39" s="124"/>
      <c r="F39" s="124"/>
      <c r="G39" s="124"/>
      <c r="H39" s="124"/>
      <c r="I39" s="124"/>
      <c r="J39" s="124"/>
      <c r="K39" s="123"/>
      <c r="L39" s="5" t="s">
        <v>230</v>
      </c>
      <c r="M39" s="5" t="s">
        <v>230</v>
      </c>
      <c r="N39" s="5" t="s">
        <v>230</v>
      </c>
      <c r="O39" s="5" t="s">
        <v>230</v>
      </c>
      <c r="P39" s="5" t="s">
        <v>230</v>
      </c>
      <c r="Q39" s="5" t="s">
        <v>230</v>
      </c>
      <c r="R39" s="5" t="s">
        <v>230</v>
      </c>
      <c r="S39" s="5" t="s">
        <v>230</v>
      </c>
      <c r="T39" s="5" t="s">
        <v>230</v>
      </c>
      <c r="U39" s="5" t="s">
        <v>230</v>
      </c>
      <c r="V39" s="5" t="s">
        <v>230</v>
      </c>
      <c r="W39" s="5" t="s">
        <v>230</v>
      </c>
      <c r="X39" s="5" t="s">
        <v>230</v>
      </c>
      <c r="Y39" s="5" t="s">
        <v>230</v>
      </c>
      <c r="Z39" s="5" t="s">
        <v>230</v>
      </c>
      <c r="AA39" s="5" t="s">
        <v>230</v>
      </c>
      <c r="AB39" s="5" t="s">
        <v>230</v>
      </c>
      <c r="AC39" s="5" t="s">
        <v>230</v>
      </c>
      <c r="AD39" s="5" t="s">
        <v>230</v>
      </c>
      <c r="AE39" s="5" t="s">
        <v>230</v>
      </c>
      <c r="AF39" s="14" t="s">
        <v>432</v>
      </c>
      <c r="AG39" s="5" t="s">
        <v>230</v>
      </c>
      <c r="AH39" s="5" t="s">
        <v>230</v>
      </c>
      <c r="AI39" s="14" t="s">
        <v>444</v>
      </c>
    </row>
    <row r="40" spans="1:53" x14ac:dyDescent="0.3">
      <c r="C40" s="15" t="s">
        <v>426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53" x14ac:dyDescent="0.3">
      <c r="C41" s="15" t="s">
        <v>427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3" spans="1:53" x14ac:dyDescent="0.3">
      <c r="B43" t="s">
        <v>112</v>
      </c>
      <c r="D43" s="122" t="s">
        <v>445</v>
      </c>
      <c r="E43" s="124"/>
      <c r="F43" s="124"/>
      <c r="G43" s="124"/>
      <c r="H43" s="124"/>
      <c r="I43" s="124"/>
      <c r="J43" s="124"/>
      <c r="K43" s="123"/>
      <c r="L43" s="122" t="s">
        <v>446</v>
      </c>
      <c r="M43" s="124"/>
      <c r="N43" s="124"/>
      <c r="O43" s="124"/>
      <c r="P43" s="124"/>
      <c r="Q43" s="124"/>
      <c r="R43" s="124"/>
      <c r="S43" s="123"/>
      <c r="T43" s="5" t="s">
        <v>230</v>
      </c>
      <c r="U43" s="5" t="s">
        <v>230</v>
      </c>
      <c r="V43" s="5" t="s">
        <v>230</v>
      </c>
      <c r="W43" s="5" t="s">
        <v>230</v>
      </c>
      <c r="X43" s="5" t="s">
        <v>230</v>
      </c>
      <c r="Y43" s="5" t="s">
        <v>230</v>
      </c>
      <c r="Z43" s="5" t="s">
        <v>230</v>
      </c>
      <c r="AA43" s="5" t="s">
        <v>230</v>
      </c>
      <c r="AB43" s="5" t="s">
        <v>230</v>
      </c>
      <c r="AC43" s="5" t="s">
        <v>230</v>
      </c>
      <c r="AD43" s="5" t="s">
        <v>230</v>
      </c>
      <c r="AE43" s="5" t="s">
        <v>230</v>
      </c>
      <c r="AF43" s="14" t="s">
        <v>432</v>
      </c>
      <c r="AG43" s="5" t="s">
        <v>230</v>
      </c>
      <c r="AH43" s="5" t="s">
        <v>230</v>
      </c>
      <c r="AI43" s="14" t="s">
        <v>444</v>
      </c>
    </row>
    <row r="44" spans="1:53" x14ac:dyDescent="0.3">
      <c r="C44" s="15" t="s">
        <v>426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53" x14ac:dyDescent="0.3">
      <c r="C45" s="15" t="s">
        <v>427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7" spans="1:53" x14ac:dyDescent="0.3">
      <c r="B47" t="s">
        <v>113</v>
      </c>
      <c r="D47" s="122" t="s">
        <v>443</v>
      </c>
      <c r="E47" s="124"/>
      <c r="F47" s="124"/>
      <c r="G47" s="124"/>
      <c r="H47" s="124"/>
      <c r="I47" s="124"/>
      <c r="J47" s="124"/>
      <c r="K47" s="123"/>
      <c r="L47" s="5" t="s">
        <v>230</v>
      </c>
      <c r="M47" s="5" t="s">
        <v>230</v>
      </c>
      <c r="N47" s="5" t="s">
        <v>230</v>
      </c>
      <c r="O47" s="5" t="s">
        <v>230</v>
      </c>
      <c r="P47" s="5" t="s">
        <v>230</v>
      </c>
      <c r="Q47" s="5" t="s">
        <v>230</v>
      </c>
      <c r="R47" s="5" t="s">
        <v>230</v>
      </c>
      <c r="S47" s="5" t="s">
        <v>230</v>
      </c>
      <c r="T47" s="5" t="s">
        <v>230</v>
      </c>
      <c r="U47" s="5" t="s">
        <v>230</v>
      </c>
      <c r="V47" s="5" t="s">
        <v>230</v>
      </c>
      <c r="W47" s="5" t="s">
        <v>230</v>
      </c>
      <c r="X47" s="5" t="s">
        <v>230</v>
      </c>
      <c r="Y47" s="5" t="s">
        <v>230</v>
      </c>
      <c r="Z47" s="5" t="s">
        <v>230</v>
      </c>
      <c r="AA47" s="5" t="s">
        <v>230</v>
      </c>
      <c r="AB47" s="5" t="s">
        <v>230</v>
      </c>
      <c r="AC47" s="5" t="s">
        <v>230</v>
      </c>
      <c r="AD47" s="5" t="s">
        <v>230</v>
      </c>
      <c r="AE47" s="5" t="s">
        <v>230</v>
      </c>
      <c r="AF47" s="14" t="s">
        <v>432</v>
      </c>
      <c r="AG47" s="5" t="s">
        <v>230</v>
      </c>
      <c r="AH47" s="14" t="s">
        <v>447</v>
      </c>
      <c r="AI47" s="14" t="s">
        <v>444</v>
      </c>
    </row>
    <row r="48" spans="1:53" x14ac:dyDescent="0.3">
      <c r="C48" s="15" t="s">
        <v>426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2:35" x14ac:dyDescent="0.3">
      <c r="C49" s="15" t="s">
        <v>427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1" spans="2:35" x14ac:dyDescent="0.3">
      <c r="B51" t="s">
        <v>114</v>
      </c>
      <c r="D51" s="122" t="s">
        <v>445</v>
      </c>
      <c r="E51" s="124"/>
      <c r="F51" s="124"/>
      <c r="G51" s="124"/>
      <c r="H51" s="124"/>
      <c r="I51" s="124"/>
      <c r="J51" s="124"/>
      <c r="K51" s="123"/>
      <c r="L51" s="122" t="s">
        <v>446</v>
      </c>
      <c r="M51" s="124"/>
      <c r="N51" s="124"/>
      <c r="O51" s="124"/>
      <c r="P51" s="124"/>
      <c r="Q51" s="124"/>
      <c r="R51" s="124"/>
      <c r="S51" s="123"/>
      <c r="T51" s="5" t="s">
        <v>230</v>
      </c>
      <c r="U51" s="5" t="s">
        <v>230</v>
      </c>
      <c r="V51" s="5" t="s">
        <v>230</v>
      </c>
      <c r="W51" s="5" t="s">
        <v>230</v>
      </c>
      <c r="X51" s="5" t="s">
        <v>230</v>
      </c>
      <c r="Y51" s="5" t="s">
        <v>230</v>
      </c>
      <c r="Z51" s="5" t="s">
        <v>230</v>
      </c>
      <c r="AA51" s="5" t="s">
        <v>230</v>
      </c>
      <c r="AB51" s="5" t="s">
        <v>230</v>
      </c>
      <c r="AC51" s="5" t="s">
        <v>230</v>
      </c>
      <c r="AD51" s="5" t="s">
        <v>230</v>
      </c>
      <c r="AE51" s="5" t="s">
        <v>230</v>
      </c>
      <c r="AF51" s="14" t="s">
        <v>432</v>
      </c>
      <c r="AG51" s="5" t="s">
        <v>230</v>
      </c>
      <c r="AH51" s="14" t="s">
        <v>447</v>
      </c>
      <c r="AI51" s="14" t="s">
        <v>444</v>
      </c>
    </row>
    <row r="52" spans="2:35" x14ac:dyDescent="0.3">
      <c r="C52" s="15" t="s">
        <v>426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2:35" x14ac:dyDescent="0.3">
      <c r="C53" s="15" t="s">
        <v>427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5" spans="2:35" x14ac:dyDescent="0.3">
      <c r="B55" t="s">
        <v>115</v>
      </c>
      <c r="D55" s="122" t="s">
        <v>443</v>
      </c>
      <c r="E55" s="124"/>
      <c r="F55" s="124"/>
      <c r="G55" s="124"/>
      <c r="H55" s="124"/>
      <c r="I55" s="124"/>
      <c r="J55" s="124"/>
      <c r="K55" s="123"/>
      <c r="L55" s="5" t="s">
        <v>230</v>
      </c>
      <c r="M55" s="5" t="s">
        <v>230</v>
      </c>
      <c r="N55" s="5" t="s">
        <v>230</v>
      </c>
      <c r="O55" s="5" t="s">
        <v>230</v>
      </c>
      <c r="P55" s="5" t="s">
        <v>230</v>
      </c>
      <c r="Q55" s="5" t="s">
        <v>230</v>
      </c>
      <c r="R55" s="5" t="s">
        <v>230</v>
      </c>
      <c r="S55" s="5" t="s">
        <v>230</v>
      </c>
      <c r="T55" s="5" t="s">
        <v>230</v>
      </c>
      <c r="U55" s="5" t="s">
        <v>230</v>
      </c>
      <c r="V55" s="5" t="s">
        <v>230</v>
      </c>
      <c r="W55" s="5" t="s">
        <v>230</v>
      </c>
      <c r="X55" s="5" t="s">
        <v>230</v>
      </c>
      <c r="Y55" s="5" t="s">
        <v>230</v>
      </c>
      <c r="Z55" s="5" t="s">
        <v>230</v>
      </c>
      <c r="AA55" s="5" t="s">
        <v>230</v>
      </c>
      <c r="AB55" s="5" t="s">
        <v>230</v>
      </c>
      <c r="AC55" s="5" t="s">
        <v>230</v>
      </c>
      <c r="AD55" s="5" t="s">
        <v>230</v>
      </c>
      <c r="AE55" s="5" t="s">
        <v>230</v>
      </c>
      <c r="AF55" s="14" t="s">
        <v>432</v>
      </c>
      <c r="AG55" s="5" t="s">
        <v>230</v>
      </c>
      <c r="AH55" s="14" t="s">
        <v>447</v>
      </c>
      <c r="AI55" s="5" t="s">
        <v>230</v>
      </c>
    </row>
    <row r="56" spans="2:35" x14ac:dyDescent="0.3">
      <c r="C56" s="15" t="s">
        <v>426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2:35" x14ac:dyDescent="0.3">
      <c r="C57" s="15" t="s">
        <v>427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9" spans="2:35" x14ac:dyDescent="0.3">
      <c r="B59" t="s">
        <v>116</v>
      </c>
      <c r="D59" s="122" t="s">
        <v>445</v>
      </c>
      <c r="E59" s="124"/>
      <c r="F59" s="124"/>
      <c r="G59" s="124"/>
      <c r="H59" s="124"/>
      <c r="I59" s="124"/>
      <c r="J59" s="124"/>
      <c r="K59" s="123"/>
      <c r="L59" s="122" t="s">
        <v>446</v>
      </c>
      <c r="M59" s="124"/>
      <c r="N59" s="124"/>
      <c r="O59" s="124"/>
      <c r="P59" s="124"/>
      <c r="Q59" s="124"/>
      <c r="R59" s="124"/>
      <c r="S59" s="123"/>
      <c r="T59" s="5" t="s">
        <v>230</v>
      </c>
      <c r="U59" s="5" t="s">
        <v>230</v>
      </c>
      <c r="V59" s="5" t="s">
        <v>230</v>
      </c>
      <c r="W59" s="5" t="s">
        <v>230</v>
      </c>
      <c r="X59" s="5" t="s">
        <v>230</v>
      </c>
      <c r="Y59" s="5" t="s">
        <v>230</v>
      </c>
      <c r="Z59" s="5" t="s">
        <v>230</v>
      </c>
      <c r="AA59" s="5" t="s">
        <v>230</v>
      </c>
      <c r="AB59" s="5" t="s">
        <v>230</v>
      </c>
      <c r="AC59" s="5" t="s">
        <v>230</v>
      </c>
      <c r="AD59" s="5" t="s">
        <v>230</v>
      </c>
      <c r="AE59" s="5" t="s">
        <v>230</v>
      </c>
      <c r="AF59" s="14" t="s">
        <v>432</v>
      </c>
      <c r="AG59" s="5" t="s">
        <v>230</v>
      </c>
      <c r="AH59" s="14" t="s">
        <v>447</v>
      </c>
      <c r="AI59" s="5" t="s">
        <v>230</v>
      </c>
    </row>
    <row r="60" spans="2:35" x14ac:dyDescent="0.3">
      <c r="C60" s="15" t="s">
        <v>426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2:35" x14ac:dyDescent="0.3">
      <c r="C61" s="15" t="s">
        <v>427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3" spans="2:35" x14ac:dyDescent="0.3">
      <c r="B63" t="s">
        <v>448</v>
      </c>
      <c r="D63" s="122" t="s">
        <v>443</v>
      </c>
      <c r="E63" s="124"/>
      <c r="F63" s="124"/>
      <c r="G63" s="124"/>
      <c r="H63" s="124"/>
      <c r="I63" s="124"/>
      <c r="J63" s="124"/>
      <c r="K63" s="123"/>
      <c r="L63" s="5" t="s">
        <v>230</v>
      </c>
      <c r="M63" s="5" t="s">
        <v>230</v>
      </c>
      <c r="N63" s="5" t="s">
        <v>230</v>
      </c>
      <c r="O63" s="5" t="s">
        <v>230</v>
      </c>
      <c r="P63" s="5" t="s">
        <v>230</v>
      </c>
      <c r="Q63" s="5" t="s">
        <v>230</v>
      </c>
      <c r="R63" s="5" t="s">
        <v>230</v>
      </c>
      <c r="S63" s="5" t="s">
        <v>230</v>
      </c>
      <c r="T63" s="5" t="s">
        <v>230</v>
      </c>
      <c r="U63" s="5" t="s">
        <v>230</v>
      </c>
      <c r="V63" s="5" t="s">
        <v>230</v>
      </c>
      <c r="W63" s="5" t="s">
        <v>230</v>
      </c>
      <c r="X63" s="5" t="s">
        <v>230</v>
      </c>
      <c r="Y63" s="5" t="s">
        <v>230</v>
      </c>
      <c r="Z63" s="5" t="s">
        <v>230</v>
      </c>
      <c r="AA63" s="5" t="s">
        <v>230</v>
      </c>
      <c r="AB63" s="5" t="s">
        <v>230</v>
      </c>
      <c r="AC63" s="5" t="s">
        <v>230</v>
      </c>
      <c r="AD63" s="5" t="s">
        <v>230</v>
      </c>
      <c r="AE63" s="5" t="s">
        <v>230</v>
      </c>
      <c r="AF63" s="14" t="s">
        <v>432</v>
      </c>
      <c r="AG63" s="14" t="s">
        <v>450</v>
      </c>
      <c r="AH63" s="14" t="s">
        <v>449</v>
      </c>
      <c r="AI63" s="5" t="s">
        <v>230</v>
      </c>
    </row>
    <row r="64" spans="2:35" x14ac:dyDescent="0.3">
      <c r="C64" s="15" t="s">
        <v>426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54" x14ac:dyDescent="0.3">
      <c r="C65" s="15" t="s">
        <v>427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7" spans="1:54" x14ac:dyDescent="0.3">
      <c r="B67" t="s">
        <v>451</v>
      </c>
      <c r="D67" s="122" t="s">
        <v>443</v>
      </c>
      <c r="E67" s="124"/>
      <c r="F67" s="124"/>
      <c r="G67" s="124"/>
      <c r="H67" s="124"/>
      <c r="I67" s="124"/>
      <c r="J67" s="124"/>
      <c r="K67" s="123"/>
      <c r="L67" s="5" t="s">
        <v>230</v>
      </c>
      <c r="M67" s="5" t="s">
        <v>230</v>
      </c>
      <c r="N67" s="5" t="s">
        <v>230</v>
      </c>
      <c r="O67" s="5" t="s">
        <v>230</v>
      </c>
      <c r="P67" s="5" t="s">
        <v>230</v>
      </c>
      <c r="Q67" s="5" t="s">
        <v>230</v>
      </c>
      <c r="R67" s="5" t="s">
        <v>230</v>
      </c>
      <c r="S67" s="5" t="s">
        <v>230</v>
      </c>
      <c r="T67" s="5" t="s">
        <v>230</v>
      </c>
      <c r="U67" s="5" t="s">
        <v>230</v>
      </c>
      <c r="V67" s="5" t="s">
        <v>230</v>
      </c>
      <c r="W67" s="5" t="s">
        <v>230</v>
      </c>
      <c r="X67" s="5" t="s">
        <v>230</v>
      </c>
      <c r="Y67" s="5" t="s">
        <v>230</v>
      </c>
      <c r="Z67" s="5" t="s">
        <v>230</v>
      </c>
      <c r="AA67" s="5" t="s">
        <v>230</v>
      </c>
      <c r="AB67" s="5" t="s">
        <v>230</v>
      </c>
      <c r="AC67" s="5" t="s">
        <v>230</v>
      </c>
      <c r="AD67" s="5" t="s">
        <v>230</v>
      </c>
      <c r="AE67" s="5" t="s">
        <v>230</v>
      </c>
      <c r="AF67" s="14" t="s">
        <v>432</v>
      </c>
      <c r="AG67" s="14" t="s">
        <v>450</v>
      </c>
      <c r="AH67" s="14" t="s">
        <v>449</v>
      </c>
      <c r="AI67" s="14" t="s">
        <v>447</v>
      </c>
    </row>
    <row r="68" spans="1:54" x14ac:dyDescent="0.3">
      <c r="C68" s="15" t="s">
        <v>426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54" x14ac:dyDescent="0.3">
      <c r="C69" s="15" t="s">
        <v>427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1" spans="1:54" x14ac:dyDescent="0.3">
      <c r="B71" t="s">
        <v>452</v>
      </c>
      <c r="D71" s="122" t="s">
        <v>443</v>
      </c>
      <c r="E71" s="124"/>
      <c r="F71" s="124"/>
      <c r="G71" s="124"/>
      <c r="H71" s="124"/>
      <c r="I71" s="124"/>
      <c r="J71" s="124"/>
      <c r="K71" s="123"/>
      <c r="L71" s="5" t="s">
        <v>230</v>
      </c>
      <c r="M71" s="5" t="s">
        <v>230</v>
      </c>
      <c r="N71" s="5" t="s">
        <v>230</v>
      </c>
      <c r="O71" s="5" t="s">
        <v>230</v>
      </c>
      <c r="P71" s="5" t="s">
        <v>230</v>
      </c>
      <c r="Q71" s="5" t="s">
        <v>230</v>
      </c>
      <c r="R71" s="5" t="s">
        <v>230</v>
      </c>
      <c r="S71" s="5" t="s">
        <v>230</v>
      </c>
      <c r="T71" s="5" t="s">
        <v>230</v>
      </c>
      <c r="U71" s="5" t="s">
        <v>230</v>
      </c>
      <c r="V71" s="5" t="s">
        <v>230</v>
      </c>
      <c r="W71" s="5" t="s">
        <v>230</v>
      </c>
      <c r="X71" s="5" t="s">
        <v>230</v>
      </c>
      <c r="Y71" s="5" t="s">
        <v>230</v>
      </c>
      <c r="Z71" s="5" t="s">
        <v>230</v>
      </c>
      <c r="AA71" s="5" t="s">
        <v>230</v>
      </c>
      <c r="AB71" s="5" t="s">
        <v>230</v>
      </c>
      <c r="AC71" s="5" t="s">
        <v>230</v>
      </c>
      <c r="AD71" s="5" t="s">
        <v>230</v>
      </c>
      <c r="AE71" s="5" t="s">
        <v>230</v>
      </c>
      <c r="AF71" s="14" t="s">
        <v>432</v>
      </c>
      <c r="AG71" s="122" t="s">
        <v>444</v>
      </c>
      <c r="AH71" s="123"/>
      <c r="AI71" s="22"/>
    </row>
    <row r="72" spans="1:54" x14ac:dyDescent="0.3">
      <c r="C72" s="15" t="s">
        <v>426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125"/>
      <c r="AH72" s="126"/>
      <c r="AI72" s="5"/>
    </row>
    <row r="73" spans="1:54" x14ac:dyDescent="0.3">
      <c r="C73" s="15" t="s">
        <v>427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125"/>
      <c r="AH73" s="126"/>
      <c r="AI73" s="5"/>
    </row>
    <row r="75" spans="1:54" x14ac:dyDescent="0.3">
      <c r="B75" t="s">
        <v>453</v>
      </c>
      <c r="D75" s="122" t="s">
        <v>443</v>
      </c>
      <c r="E75" s="124"/>
      <c r="F75" s="124"/>
      <c r="G75" s="124"/>
      <c r="H75" s="124"/>
      <c r="I75" s="124"/>
      <c r="J75" s="124"/>
      <c r="K75" s="123"/>
      <c r="L75" s="5" t="s">
        <v>230</v>
      </c>
      <c r="M75" s="5" t="s">
        <v>230</v>
      </c>
      <c r="N75" s="5" t="s">
        <v>230</v>
      </c>
      <c r="O75" s="5" t="s">
        <v>230</v>
      </c>
      <c r="P75" s="5" t="s">
        <v>230</v>
      </c>
      <c r="Q75" s="5" t="s">
        <v>230</v>
      </c>
      <c r="R75" s="5" t="s">
        <v>230</v>
      </c>
      <c r="S75" s="5" t="s">
        <v>230</v>
      </c>
      <c r="T75" s="5" t="s">
        <v>230</v>
      </c>
      <c r="U75" s="5" t="s">
        <v>230</v>
      </c>
      <c r="V75" s="5" t="s">
        <v>230</v>
      </c>
      <c r="W75" s="5" t="s">
        <v>230</v>
      </c>
      <c r="X75" s="5" t="s">
        <v>230</v>
      </c>
      <c r="Y75" s="5" t="s">
        <v>230</v>
      </c>
      <c r="Z75" s="5" t="s">
        <v>230</v>
      </c>
      <c r="AA75" s="5" t="s">
        <v>230</v>
      </c>
      <c r="AB75" s="5" t="s">
        <v>230</v>
      </c>
      <c r="AC75" s="5" t="s">
        <v>230</v>
      </c>
      <c r="AD75" s="5" t="s">
        <v>230</v>
      </c>
      <c r="AE75" s="5" t="s">
        <v>230</v>
      </c>
      <c r="AF75" s="14" t="s">
        <v>432</v>
      </c>
      <c r="AG75" s="122" t="s">
        <v>444</v>
      </c>
      <c r="AH75" s="123"/>
      <c r="AI75" s="14" t="s">
        <v>447</v>
      </c>
    </row>
    <row r="76" spans="1:54" x14ac:dyDescent="0.3">
      <c r="C76" s="15" t="s">
        <v>426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125"/>
      <c r="AH76" s="126"/>
      <c r="AI76" s="5"/>
    </row>
    <row r="77" spans="1:54" x14ac:dyDescent="0.3">
      <c r="C77" s="15" t="s">
        <v>427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125"/>
      <c r="AH77" s="126"/>
      <c r="AI77" s="5"/>
      <c r="AL77" t="s">
        <v>377</v>
      </c>
      <c r="BB77" t="s">
        <v>377</v>
      </c>
    </row>
    <row r="78" spans="1:54" ht="15" thickBot="1" x14ac:dyDescent="0.35">
      <c r="A78" s="23"/>
      <c r="B78" s="23"/>
      <c r="C78" s="24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Z78" s="23"/>
      <c r="BA78" s="23"/>
    </row>
    <row r="80" spans="1:54" x14ac:dyDescent="0.3">
      <c r="B80" t="s">
        <v>474</v>
      </c>
      <c r="D80" s="122" t="s">
        <v>564</v>
      </c>
      <c r="E80" s="124"/>
      <c r="F80" s="124"/>
      <c r="G80" s="124"/>
      <c r="H80" s="124"/>
      <c r="I80" s="124"/>
      <c r="J80" s="124"/>
      <c r="K80" s="123"/>
      <c r="L80" s="14" t="s">
        <v>565</v>
      </c>
      <c r="M80" s="122" t="s">
        <v>566</v>
      </c>
      <c r="N80" s="124"/>
      <c r="O80" s="124"/>
      <c r="P80" s="124"/>
      <c r="Q80" s="124"/>
      <c r="R80" s="124"/>
      <c r="S80" s="123"/>
      <c r="T80" s="122" t="s">
        <v>423</v>
      </c>
      <c r="U80" s="124"/>
      <c r="V80" s="124"/>
      <c r="W80" s="124"/>
      <c r="X80" s="124"/>
      <c r="Y80" s="124"/>
      <c r="Z80" s="124"/>
      <c r="AA80" s="123"/>
      <c r="AB80" s="14" t="s">
        <v>567</v>
      </c>
      <c r="AC80" s="14" t="s">
        <v>568</v>
      </c>
      <c r="AD80" s="14" t="s">
        <v>569</v>
      </c>
      <c r="AE80" s="14" t="s">
        <v>570</v>
      </c>
      <c r="AF80" s="14" t="s">
        <v>432</v>
      </c>
      <c r="AG80" s="14" t="s">
        <v>571</v>
      </c>
      <c r="AH80" s="14" t="s">
        <v>572</v>
      </c>
      <c r="AI80" s="14" t="s">
        <v>573</v>
      </c>
    </row>
    <row r="81" spans="2:56" x14ac:dyDescent="0.3">
      <c r="B81" t="s">
        <v>574</v>
      </c>
      <c r="C81" s="15" t="s">
        <v>426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2:56" x14ac:dyDescent="0.3">
      <c r="C82" s="15" t="s">
        <v>427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2:56" x14ac:dyDescent="0.3">
      <c r="Y83" t="s">
        <v>676</v>
      </c>
    </row>
    <row r="84" spans="2:56" x14ac:dyDescent="0.3">
      <c r="B84" t="s">
        <v>474</v>
      </c>
      <c r="D84" s="122" t="s">
        <v>576</v>
      </c>
      <c r="E84" s="124"/>
      <c r="F84" s="124"/>
      <c r="G84" s="124"/>
      <c r="H84" s="124"/>
      <c r="I84" s="124"/>
      <c r="J84" s="124"/>
      <c r="K84" s="123"/>
      <c r="L84" s="122" t="s">
        <v>577</v>
      </c>
      <c r="M84" s="124"/>
      <c r="N84" s="124"/>
      <c r="O84" s="124"/>
      <c r="P84" s="124"/>
      <c r="Q84" s="124"/>
      <c r="R84" s="124"/>
      <c r="S84" s="123"/>
      <c r="T84" s="14" t="s">
        <v>578</v>
      </c>
      <c r="U84" s="120" t="s">
        <v>579</v>
      </c>
      <c r="V84" s="127"/>
      <c r="W84" s="127"/>
      <c r="X84" s="14" t="s">
        <v>580</v>
      </c>
      <c r="Y84" s="40" t="s">
        <v>581</v>
      </c>
      <c r="Z84" s="41" t="s">
        <v>567</v>
      </c>
      <c r="AA84" s="29" t="s">
        <v>582</v>
      </c>
      <c r="AB84" s="5"/>
      <c r="AC84" s="5"/>
      <c r="AD84" s="5"/>
      <c r="AE84" s="5"/>
      <c r="AF84" s="14" t="s">
        <v>432</v>
      </c>
      <c r="AG84" s="5"/>
      <c r="AH84" s="5"/>
      <c r="AI84" s="5"/>
    </row>
    <row r="85" spans="2:56" x14ac:dyDescent="0.3">
      <c r="B85" t="s">
        <v>575</v>
      </c>
      <c r="C85" s="15" t="s">
        <v>426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0</v>
      </c>
      <c r="U85" s="5">
        <v>0</v>
      </c>
      <c r="V85" s="5">
        <v>1</v>
      </c>
      <c r="W85" s="5">
        <v>0</v>
      </c>
      <c r="X85" s="5">
        <v>1</v>
      </c>
      <c r="Y85" s="5">
        <v>1</v>
      </c>
      <c r="Z85" s="5">
        <v>0</v>
      </c>
      <c r="AA85" s="5">
        <v>0</v>
      </c>
      <c r="AB85" s="5"/>
      <c r="AC85" s="5"/>
      <c r="AD85" s="5"/>
      <c r="AE85" s="5"/>
      <c r="AF85" s="5"/>
      <c r="AG85" s="5"/>
      <c r="AH85" s="5"/>
      <c r="AI85" s="5"/>
    </row>
    <row r="86" spans="2:56" x14ac:dyDescent="0.3">
      <c r="C86" s="15" t="s">
        <v>427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8" spans="2:56" x14ac:dyDescent="0.3">
      <c r="B88" t="s">
        <v>474</v>
      </c>
      <c r="D88" s="122" t="s">
        <v>673</v>
      </c>
      <c r="E88" s="124"/>
      <c r="F88" s="124"/>
      <c r="G88" s="124"/>
      <c r="H88" s="124"/>
      <c r="I88" s="124"/>
      <c r="J88" s="122" t="s">
        <v>674</v>
      </c>
      <c r="K88" s="124"/>
      <c r="L88" s="124"/>
      <c r="M88" s="124"/>
      <c r="N88" s="124"/>
      <c r="O88" s="124"/>
      <c r="P88" s="123"/>
      <c r="Q88" s="129" t="s">
        <v>669</v>
      </c>
      <c r="R88" s="130"/>
      <c r="S88" s="130"/>
      <c r="T88" s="130"/>
      <c r="U88" s="130"/>
      <c r="V88" s="130"/>
      <c r="W88" s="130"/>
      <c r="X88" s="130"/>
      <c r="Y88" s="130"/>
      <c r="Z88" s="130"/>
      <c r="AA88" s="131"/>
      <c r="AB88" s="14" t="s">
        <v>670</v>
      </c>
      <c r="AC88" s="22"/>
      <c r="AD88" s="22"/>
      <c r="AE88" s="14" t="s">
        <v>671</v>
      </c>
      <c r="AF88" s="14" t="s">
        <v>432</v>
      </c>
      <c r="AG88" s="5"/>
      <c r="AH88" s="5"/>
      <c r="AI88" s="5"/>
    </row>
    <row r="89" spans="2:56" x14ac:dyDescent="0.3">
      <c r="B89" t="s">
        <v>668</v>
      </c>
      <c r="C89" s="15" t="s">
        <v>675</v>
      </c>
      <c r="D89" s="125">
        <v>20</v>
      </c>
      <c r="E89" s="128"/>
      <c r="F89" s="128"/>
      <c r="G89" s="128"/>
      <c r="H89" s="128"/>
      <c r="I89" s="126"/>
      <c r="J89" s="125">
        <v>6</v>
      </c>
      <c r="K89" s="128"/>
      <c r="L89" s="128"/>
      <c r="M89" s="128"/>
      <c r="N89" s="128"/>
      <c r="O89" s="128"/>
      <c r="P89" s="126"/>
      <c r="Q89" s="125">
        <v>49</v>
      </c>
      <c r="R89" s="128"/>
      <c r="S89" s="128"/>
      <c r="T89" s="128"/>
      <c r="U89" s="128"/>
      <c r="V89" s="128"/>
      <c r="W89" s="128"/>
      <c r="X89" s="128"/>
      <c r="Y89" s="128"/>
      <c r="Z89" s="128"/>
      <c r="AA89" s="126"/>
      <c r="AB89" s="5">
        <v>1</v>
      </c>
      <c r="AC89" s="5" t="s">
        <v>230</v>
      </c>
      <c r="AD89" s="5" t="s">
        <v>230</v>
      </c>
      <c r="AE89" s="5">
        <v>0</v>
      </c>
      <c r="AF89" s="5">
        <v>0</v>
      </c>
      <c r="AG89" s="5" t="s">
        <v>230</v>
      </c>
      <c r="AH89" s="5" t="s">
        <v>230</v>
      </c>
      <c r="AI89" s="5" t="s">
        <v>230</v>
      </c>
    </row>
    <row r="90" spans="2:56" x14ac:dyDescent="0.3">
      <c r="D90" s="9">
        <v>1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1</v>
      </c>
      <c r="O90" s="9">
        <v>1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1</v>
      </c>
      <c r="V90" s="9">
        <v>0</v>
      </c>
      <c r="W90" s="9">
        <v>0</v>
      </c>
      <c r="X90" s="9">
        <v>1</v>
      </c>
      <c r="Y90" s="9">
        <v>0</v>
      </c>
      <c r="Z90" s="9">
        <v>0</v>
      </c>
      <c r="AA90" s="9">
        <v>1</v>
      </c>
      <c r="AB90" s="5">
        <v>1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N90" t="s">
        <v>672</v>
      </c>
      <c r="BD90" t="s">
        <v>672</v>
      </c>
    </row>
    <row r="91" spans="2:56" x14ac:dyDescent="0.3">
      <c r="C91" s="15" t="s">
        <v>427</v>
      </c>
      <c r="D91" s="125">
        <v>80</v>
      </c>
      <c r="E91" s="128"/>
      <c r="F91" s="128"/>
      <c r="G91" s="128"/>
      <c r="H91" s="128"/>
      <c r="I91" s="128"/>
      <c r="J91" s="128"/>
      <c r="K91" s="126"/>
      <c r="L91" s="125">
        <v>30</v>
      </c>
      <c r="M91" s="128"/>
      <c r="N91" s="128"/>
      <c r="O91" s="128"/>
      <c r="P91" s="128"/>
      <c r="Q91" s="128"/>
      <c r="R91" s="128"/>
      <c r="S91" s="126"/>
      <c r="T91" s="125">
        <v>49</v>
      </c>
      <c r="U91" s="128"/>
      <c r="V91" s="128"/>
      <c r="W91" s="128"/>
      <c r="X91" s="128"/>
      <c r="Y91" s="128"/>
      <c r="Z91" s="128"/>
      <c r="AA91" s="126"/>
      <c r="AB91" s="125">
        <v>80</v>
      </c>
      <c r="AC91" s="128"/>
      <c r="AD91" s="128"/>
      <c r="AE91" s="128"/>
      <c r="AF91" s="128"/>
      <c r="AG91" s="128"/>
      <c r="AH91" s="128"/>
      <c r="AI91" s="126"/>
    </row>
    <row r="93" spans="2:56" x14ac:dyDescent="0.3">
      <c r="B93" t="s">
        <v>120</v>
      </c>
      <c r="D93" s="122" t="s">
        <v>882</v>
      </c>
      <c r="E93" s="124"/>
      <c r="F93" s="124"/>
      <c r="G93" s="124"/>
      <c r="H93" s="124"/>
      <c r="I93" s="124"/>
      <c r="J93" s="124"/>
      <c r="K93" s="123"/>
      <c r="L93" s="122" t="s">
        <v>881</v>
      </c>
      <c r="M93" s="124"/>
      <c r="N93" s="124"/>
      <c r="O93" s="124"/>
      <c r="P93" s="124"/>
      <c r="Q93" s="124"/>
      <c r="R93" s="124"/>
      <c r="S93" s="123"/>
      <c r="T93" s="16"/>
      <c r="U93" s="41" t="s">
        <v>883</v>
      </c>
      <c r="V93" s="122" t="s">
        <v>884</v>
      </c>
      <c r="W93" s="124"/>
      <c r="X93" s="124"/>
      <c r="Y93" s="124"/>
      <c r="Z93" s="124"/>
      <c r="AA93" s="123"/>
      <c r="AB93" s="5"/>
      <c r="AC93" s="5"/>
      <c r="AD93" s="120" t="s">
        <v>885</v>
      </c>
      <c r="AE93" s="121"/>
      <c r="AF93" s="14" t="s">
        <v>432</v>
      </c>
      <c r="AG93" s="14" t="s">
        <v>886</v>
      </c>
      <c r="AH93" s="122" t="s">
        <v>887</v>
      </c>
      <c r="AI93" s="123"/>
    </row>
    <row r="94" spans="2:56" x14ac:dyDescent="0.3">
      <c r="B94" t="s">
        <v>575</v>
      </c>
      <c r="C94" s="15" t="s">
        <v>426</v>
      </c>
      <c r="D94" s="125"/>
      <c r="E94" s="128"/>
      <c r="F94" s="128"/>
      <c r="G94" s="128"/>
      <c r="H94" s="128"/>
      <c r="I94" s="128"/>
      <c r="J94" s="128"/>
      <c r="K94" s="126"/>
      <c r="L94" s="125"/>
      <c r="M94" s="128"/>
      <c r="N94" s="128"/>
      <c r="O94" s="128"/>
      <c r="P94" s="128"/>
      <c r="Q94" s="128"/>
      <c r="R94" s="128"/>
      <c r="S94" s="126"/>
      <c r="T94" s="5">
        <v>0</v>
      </c>
      <c r="U94" s="78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/>
      <c r="AC94" s="5"/>
      <c r="AD94" s="5"/>
      <c r="AE94" s="5"/>
      <c r="AF94" s="5"/>
      <c r="AG94" s="5"/>
      <c r="AH94" s="5"/>
      <c r="AI94" s="5"/>
    </row>
    <row r="95" spans="2:56" x14ac:dyDescent="0.3">
      <c r="C95" s="15" t="s">
        <v>427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7" spans="2:51" x14ac:dyDescent="0.3">
      <c r="B97" t="s">
        <v>120</v>
      </c>
      <c r="D97" s="122" t="s">
        <v>673</v>
      </c>
      <c r="E97" s="124"/>
      <c r="F97" s="124"/>
      <c r="G97" s="124"/>
      <c r="H97" s="124"/>
      <c r="I97" s="123"/>
      <c r="J97" s="122" t="s">
        <v>674</v>
      </c>
      <c r="K97" s="124"/>
      <c r="L97" s="124"/>
      <c r="M97" s="124"/>
      <c r="N97" s="124"/>
      <c r="O97" s="124"/>
      <c r="P97" s="123"/>
      <c r="Q97" s="129" t="s">
        <v>669</v>
      </c>
      <c r="R97" s="130"/>
      <c r="S97" s="130"/>
      <c r="T97" s="130"/>
      <c r="U97" s="130"/>
      <c r="V97" s="130"/>
      <c r="W97" s="130"/>
      <c r="X97" s="130"/>
      <c r="Y97" s="130"/>
      <c r="Z97" s="130"/>
      <c r="AA97" s="131"/>
      <c r="AB97" s="14" t="s">
        <v>670</v>
      </c>
      <c r="AC97" s="22"/>
      <c r="AD97" s="22"/>
      <c r="AE97" s="14" t="s">
        <v>671</v>
      </c>
      <c r="AF97" s="14" t="s">
        <v>432</v>
      </c>
      <c r="AG97" s="5"/>
      <c r="AH97" s="5"/>
      <c r="AI97" s="5"/>
    </row>
    <row r="98" spans="2:51" x14ac:dyDescent="0.3">
      <c r="B98" t="s">
        <v>668</v>
      </c>
      <c r="C98" s="15" t="s">
        <v>675</v>
      </c>
      <c r="D98" s="125">
        <v>20</v>
      </c>
      <c r="E98" s="128"/>
      <c r="F98" s="128"/>
      <c r="G98" s="128"/>
      <c r="H98" s="128"/>
      <c r="I98" s="126"/>
      <c r="J98" s="125">
        <v>4</v>
      </c>
      <c r="K98" s="128"/>
      <c r="L98" s="128"/>
      <c r="M98" s="128"/>
      <c r="N98" s="128"/>
      <c r="O98" s="128"/>
      <c r="P98" s="126"/>
      <c r="Q98" s="125">
        <v>49</v>
      </c>
      <c r="R98" s="128"/>
      <c r="S98" s="128"/>
      <c r="T98" s="128"/>
      <c r="U98" s="128"/>
      <c r="V98" s="128"/>
      <c r="W98" s="128"/>
      <c r="X98" s="128"/>
      <c r="Y98" s="128"/>
      <c r="Z98" s="128"/>
      <c r="AA98" s="126"/>
      <c r="AB98" s="5">
        <v>1</v>
      </c>
      <c r="AC98" s="5" t="s">
        <v>230</v>
      </c>
      <c r="AD98" s="5" t="s">
        <v>230</v>
      </c>
      <c r="AE98" s="5">
        <v>0</v>
      </c>
      <c r="AF98" s="5">
        <v>0</v>
      </c>
      <c r="AG98" s="5" t="s">
        <v>230</v>
      </c>
      <c r="AH98" s="5" t="s">
        <v>230</v>
      </c>
      <c r="AI98" s="5" t="s">
        <v>230</v>
      </c>
    </row>
    <row r="99" spans="2:51" x14ac:dyDescent="0.3">
      <c r="D99" s="9">
        <v>1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1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1</v>
      </c>
      <c r="V99" s="9">
        <v>0</v>
      </c>
      <c r="W99" s="9">
        <v>0</v>
      </c>
      <c r="X99" s="9">
        <v>1</v>
      </c>
      <c r="Y99" s="9">
        <v>0</v>
      </c>
      <c r="Z99" s="9">
        <v>0</v>
      </c>
      <c r="AA99" s="9">
        <v>1</v>
      </c>
      <c r="AB99" s="5">
        <v>1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</row>
    <row r="100" spans="2:51" x14ac:dyDescent="0.3">
      <c r="C100" s="15" t="s">
        <v>427</v>
      </c>
      <c r="D100" s="125">
        <v>80</v>
      </c>
      <c r="E100" s="128"/>
      <c r="F100" s="128"/>
      <c r="G100" s="128"/>
      <c r="H100" s="128"/>
      <c r="I100" s="128"/>
      <c r="J100" s="128"/>
      <c r="K100" s="126"/>
      <c r="L100" s="125">
        <v>20</v>
      </c>
      <c r="M100" s="128"/>
      <c r="N100" s="128"/>
      <c r="O100" s="128"/>
      <c r="P100" s="128"/>
      <c r="Q100" s="128"/>
      <c r="R100" s="128"/>
      <c r="S100" s="126"/>
      <c r="T100" s="125">
        <v>49</v>
      </c>
      <c r="U100" s="128"/>
      <c r="V100" s="128"/>
      <c r="W100" s="128"/>
      <c r="X100" s="128"/>
      <c r="Y100" s="128"/>
      <c r="Z100" s="128"/>
      <c r="AA100" s="126"/>
      <c r="AB100" s="125">
        <v>80</v>
      </c>
      <c r="AC100" s="128"/>
      <c r="AD100" s="128"/>
      <c r="AE100" s="128"/>
      <c r="AF100" s="128"/>
      <c r="AG100" s="128"/>
      <c r="AH100" s="128"/>
      <c r="AI100" s="126"/>
    </row>
    <row r="102" spans="2:51" x14ac:dyDescent="0.3">
      <c r="B102" t="s">
        <v>117</v>
      </c>
      <c r="D102" s="122" t="s">
        <v>576</v>
      </c>
      <c r="E102" s="124"/>
      <c r="F102" s="124"/>
      <c r="G102" s="124"/>
      <c r="H102" s="124"/>
      <c r="I102" s="124"/>
      <c r="J102" s="124"/>
      <c r="K102" s="123"/>
      <c r="L102" s="122" t="s">
        <v>577</v>
      </c>
      <c r="M102" s="124"/>
      <c r="N102" s="124"/>
      <c r="O102" s="124"/>
      <c r="P102" s="124"/>
      <c r="Q102" s="124"/>
      <c r="R102" s="124"/>
      <c r="S102" s="123"/>
      <c r="T102" s="14" t="s">
        <v>877</v>
      </c>
      <c r="U102" s="122" t="s">
        <v>878</v>
      </c>
      <c r="V102" s="124"/>
      <c r="W102" s="124"/>
      <c r="X102" s="14" t="s">
        <v>580</v>
      </c>
      <c r="Y102" s="40" t="s">
        <v>581</v>
      </c>
      <c r="Z102" s="41" t="s">
        <v>879</v>
      </c>
      <c r="AA102" s="29" t="s">
        <v>880</v>
      </c>
      <c r="AB102" s="5"/>
      <c r="AC102" s="5"/>
      <c r="AD102" s="5"/>
      <c r="AE102" s="5"/>
      <c r="AF102" s="14" t="s">
        <v>432</v>
      </c>
      <c r="AG102" s="5"/>
      <c r="AH102" s="5"/>
      <c r="AI102" s="5"/>
    </row>
    <row r="103" spans="2:51" x14ac:dyDescent="0.3">
      <c r="B103" t="s">
        <v>575</v>
      </c>
      <c r="C103" s="15" t="s">
        <v>426</v>
      </c>
      <c r="D103" s="125"/>
      <c r="E103" s="128"/>
      <c r="F103" s="128"/>
      <c r="G103" s="128"/>
      <c r="H103" s="128"/>
      <c r="I103" s="128"/>
      <c r="J103" s="128"/>
      <c r="K103" s="126"/>
      <c r="L103" s="125"/>
      <c r="M103" s="128"/>
      <c r="N103" s="128"/>
      <c r="O103" s="128"/>
      <c r="P103" s="128"/>
      <c r="Q103" s="128"/>
      <c r="R103" s="128"/>
      <c r="S103" s="126"/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1</v>
      </c>
      <c r="Z103" s="5">
        <v>0</v>
      </c>
      <c r="AA103" s="5">
        <v>0</v>
      </c>
      <c r="AB103" s="5"/>
      <c r="AC103" s="5"/>
      <c r="AD103" s="5"/>
      <c r="AE103" s="5"/>
      <c r="AF103" s="5"/>
      <c r="AG103" s="5"/>
      <c r="AH103" s="5"/>
      <c r="AI103" s="5"/>
    </row>
    <row r="104" spans="2:51" x14ac:dyDescent="0.3">
      <c r="C104" s="15" t="s">
        <v>427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6" spans="2:51" x14ac:dyDescent="0.3">
      <c r="B106" t="s">
        <v>117</v>
      </c>
      <c r="D106" s="133" t="s">
        <v>673</v>
      </c>
      <c r="E106" s="133"/>
      <c r="F106" s="133"/>
      <c r="G106" s="133"/>
      <c r="H106" s="133"/>
      <c r="I106" s="133"/>
      <c r="J106" s="133" t="s">
        <v>674</v>
      </c>
      <c r="K106" s="133"/>
      <c r="L106" s="133"/>
      <c r="M106" s="133"/>
      <c r="N106" s="133"/>
      <c r="O106" s="133"/>
      <c r="P106" s="133"/>
      <c r="Q106" s="135" t="s">
        <v>669</v>
      </c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4" t="s">
        <v>670</v>
      </c>
      <c r="AC106" s="22"/>
      <c r="AD106" s="22"/>
      <c r="AE106" s="14" t="s">
        <v>671</v>
      </c>
      <c r="AF106" s="14" t="s">
        <v>432</v>
      </c>
      <c r="AG106" s="5"/>
      <c r="AH106" s="5"/>
      <c r="AI106" s="5"/>
    </row>
    <row r="107" spans="2:51" x14ac:dyDescent="0.3">
      <c r="B107" t="s">
        <v>668</v>
      </c>
      <c r="C107" s="15" t="s">
        <v>675</v>
      </c>
      <c r="D107" s="125">
        <v>20</v>
      </c>
      <c r="E107" s="128"/>
      <c r="F107" s="128"/>
      <c r="G107" s="128"/>
      <c r="H107" s="128"/>
      <c r="I107" s="126"/>
      <c r="J107" s="125">
        <v>1</v>
      </c>
      <c r="K107" s="128"/>
      <c r="L107" s="128"/>
      <c r="M107" s="128"/>
      <c r="N107" s="128"/>
      <c r="O107" s="128"/>
      <c r="P107" s="126"/>
      <c r="Q107" s="125">
        <v>49</v>
      </c>
      <c r="R107" s="128"/>
      <c r="S107" s="128"/>
      <c r="T107" s="128"/>
      <c r="U107" s="128"/>
      <c r="V107" s="128"/>
      <c r="W107" s="128"/>
      <c r="X107" s="128"/>
      <c r="Y107" s="128"/>
      <c r="Z107" s="128"/>
      <c r="AA107" s="126"/>
      <c r="AB107" s="5">
        <v>1</v>
      </c>
      <c r="AC107" s="5" t="s">
        <v>230</v>
      </c>
      <c r="AD107" s="5" t="s">
        <v>230</v>
      </c>
      <c r="AE107" s="5">
        <v>0</v>
      </c>
      <c r="AF107" s="5">
        <v>0</v>
      </c>
      <c r="AG107" s="5" t="s">
        <v>230</v>
      </c>
      <c r="AH107" s="5" t="s">
        <v>230</v>
      </c>
      <c r="AI107" s="5" t="s">
        <v>230</v>
      </c>
    </row>
    <row r="108" spans="2:51" x14ac:dyDescent="0.3">
      <c r="D108" s="9">
        <v>1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 t="s">
        <v>1005</v>
      </c>
      <c r="P108" s="9">
        <v>1</v>
      </c>
      <c r="Q108" s="9">
        <v>0</v>
      </c>
      <c r="R108" s="9">
        <v>0</v>
      </c>
      <c r="S108" s="9">
        <v>0</v>
      </c>
      <c r="T108" s="9">
        <v>0</v>
      </c>
      <c r="U108" s="9">
        <v>1</v>
      </c>
      <c r="V108" s="9">
        <v>0</v>
      </c>
      <c r="W108" s="9">
        <v>0</v>
      </c>
      <c r="X108" s="9">
        <v>1</v>
      </c>
      <c r="Y108" s="9">
        <v>0</v>
      </c>
      <c r="Z108" s="9">
        <v>0</v>
      </c>
      <c r="AA108" s="9">
        <v>1</v>
      </c>
      <c r="AB108" s="5">
        <v>1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</row>
    <row r="109" spans="2:51" x14ac:dyDescent="0.3">
      <c r="C109" s="15" t="s">
        <v>427</v>
      </c>
      <c r="D109" s="125">
        <v>80</v>
      </c>
      <c r="E109" s="128"/>
      <c r="F109" s="128"/>
      <c r="G109" s="128"/>
      <c r="H109" s="128"/>
      <c r="I109" s="128"/>
      <c r="J109" s="128"/>
      <c r="K109" s="126"/>
      <c r="L109" s="125">
        <v>8</v>
      </c>
      <c r="M109" s="128"/>
      <c r="N109" s="128"/>
      <c r="O109" s="128"/>
      <c r="P109" s="128"/>
      <c r="Q109" s="128"/>
      <c r="R109" s="128"/>
      <c r="S109" s="126"/>
      <c r="T109" s="125">
        <v>49</v>
      </c>
      <c r="U109" s="128"/>
      <c r="V109" s="128"/>
      <c r="W109" s="128"/>
      <c r="X109" s="128"/>
      <c r="Y109" s="128"/>
      <c r="Z109" s="128"/>
      <c r="AA109" s="126"/>
      <c r="AB109" s="125">
        <v>80</v>
      </c>
      <c r="AC109" s="128"/>
      <c r="AD109" s="128"/>
      <c r="AE109" s="128"/>
      <c r="AF109" s="128"/>
      <c r="AG109" s="128"/>
      <c r="AH109" s="128"/>
      <c r="AI109" s="126"/>
    </row>
    <row r="111" spans="2:51" x14ac:dyDescent="0.3">
      <c r="B111" s="36" t="s">
        <v>524</v>
      </c>
      <c r="D111" s="132" t="s">
        <v>649</v>
      </c>
      <c r="E111" s="132"/>
      <c r="F111" s="132"/>
      <c r="G111" s="132"/>
      <c r="H111" s="132"/>
      <c r="I111" s="132"/>
      <c r="J111" s="132"/>
      <c r="K111" s="132"/>
      <c r="L111" s="132" t="s">
        <v>650</v>
      </c>
      <c r="M111" s="132"/>
      <c r="N111" s="132"/>
      <c r="O111" s="132"/>
      <c r="P111" s="132"/>
      <c r="Q111" s="132"/>
      <c r="R111" s="132"/>
      <c r="S111" s="132"/>
      <c r="T111" s="132" t="s">
        <v>420</v>
      </c>
      <c r="U111" s="132"/>
      <c r="V111" s="132"/>
      <c r="W111" s="132"/>
      <c r="X111" s="132"/>
      <c r="Y111" s="132"/>
      <c r="Z111" s="132"/>
      <c r="AA111" s="132"/>
      <c r="AB111" s="132" t="s">
        <v>419</v>
      </c>
      <c r="AC111" s="132"/>
      <c r="AD111" s="132"/>
      <c r="AE111" s="132"/>
      <c r="AF111" s="132"/>
      <c r="AG111" s="132"/>
      <c r="AH111" s="132"/>
      <c r="AI111" s="132"/>
      <c r="AJ111" s="132" t="s">
        <v>418</v>
      </c>
      <c r="AK111" s="132"/>
      <c r="AL111" s="132"/>
      <c r="AM111" s="132"/>
      <c r="AN111" s="132"/>
      <c r="AO111" s="132"/>
      <c r="AP111" s="132"/>
      <c r="AQ111" s="132"/>
      <c r="AR111" s="132" t="s">
        <v>417</v>
      </c>
      <c r="AS111" s="132"/>
      <c r="AT111" s="132"/>
      <c r="AU111" s="132"/>
      <c r="AV111" s="132"/>
      <c r="AW111" s="132"/>
      <c r="AX111" s="132"/>
      <c r="AY111" s="132"/>
    </row>
    <row r="112" spans="2:51" x14ac:dyDescent="0.3">
      <c r="D112" s="14" t="s">
        <v>404</v>
      </c>
      <c r="E112" s="133" t="s">
        <v>651</v>
      </c>
      <c r="F112" s="133"/>
      <c r="G112" s="133"/>
      <c r="H112" s="133"/>
      <c r="I112" s="133" t="s">
        <v>658</v>
      </c>
      <c r="J112" s="133"/>
      <c r="K112" s="133"/>
      <c r="L112" s="133"/>
      <c r="M112" s="133"/>
      <c r="N112" s="133"/>
      <c r="O112" s="133"/>
      <c r="P112" s="133"/>
      <c r="Q112" s="122" t="s">
        <v>569</v>
      </c>
      <c r="R112" s="123"/>
      <c r="S112" s="122" t="s">
        <v>657</v>
      </c>
      <c r="T112" s="124"/>
      <c r="U112" s="124"/>
      <c r="V112" s="124"/>
      <c r="W112" s="124"/>
      <c r="X112" s="124"/>
      <c r="Y112" s="124"/>
      <c r="Z112" s="123"/>
      <c r="AA112" s="122" t="s">
        <v>655</v>
      </c>
      <c r="AB112" s="124"/>
      <c r="AC112" s="124"/>
      <c r="AD112" s="124"/>
      <c r="AE112" s="124"/>
      <c r="AF112" s="124"/>
      <c r="AG112" s="124"/>
      <c r="AH112" s="123"/>
      <c r="AI112" s="122" t="s">
        <v>656</v>
      </c>
      <c r="AJ112" s="124"/>
      <c r="AK112" s="124"/>
      <c r="AL112" s="124"/>
      <c r="AM112" s="124"/>
      <c r="AN112" s="124"/>
      <c r="AO112" s="124"/>
      <c r="AP112" s="123"/>
      <c r="AQ112" s="122" t="s">
        <v>652</v>
      </c>
      <c r="AR112" s="123"/>
      <c r="AS112" s="122" t="s">
        <v>653</v>
      </c>
      <c r="AT112" s="124"/>
      <c r="AU112" s="123"/>
      <c r="AV112" s="5"/>
      <c r="AW112" s="5"/>
      <c r="AX112" s="5"/>
      <c r="AY112" s="5"/>
    </row>
    <row r="113" spans="2:75" s="1" customFormat="1" x14ac:dyDescent="0.3">
      <c r="D113" s="9">
        <v>0</v>
      </c>
      <c r="E113" s="9">
        <v>1</v>
      </c>
      <c r="F113" s="9">
        <v>0</v>
      </c>
      <c r="G113" s="9">
        <v>1</v>
      </c>
      <c r="H113" s="9">
        <v>1</v>
      </c>
      <c r="I113" s="9">
        <v>0</v>
      </c>
      <c r="J113" s="9">
        <v>1</v>
      </c>
      <c r="K113" s="9">
        <v>0</v>
      </c>
      <c r="L113" s="9">
        <v>1</v>
      </c>
      <c r="M113" s="9">
        <v>0</v>
      </c>
      <c r="N113" s="9">
        <v>1</v>
      </c>
      <c r="O113" s="9">
        <v>0</v>
      </c>
      <c r="P113" s="9">
        <v>1</v>
      </c>
      <c r="Q113" s="9">
        <v>1</v>
      </c>
      <c r="R113" s="9">
        <v>1</v>
      </c>
      <c r="S113" s="9">
        <v>1</v>
      </c>
      <c r="T113" s="9">
        <v>0</v>
      </c>
      <c r="U113" s="9">
        <v>1</v>
      </c>
      <c r="V113" s="9">
        <v>0</v>
      </c>
      <c r="W113" s="9">
        <v>1</v>
      </c>
      <c r="X113" s="9">
        <v>0</v>
      </c>
      <c r="Y113" s="9">
        <v>1</v>
      </c>
      <c r="Z113" s="9">
        <v>0</v>
      </c>
      <c r="AA113" s="9">
        <v>1</v>
      </c>
      <c r="AB113" s="9">
        <v>0</v>
      </c>
      <c r="AC113" s="9">
        <v>1</v>
      </c>
      <c r="AD113" s="9">
        <v>0</v>
      </c>
      <c r="AE113" s="9">
        <v>1</v>
      </c>
      <c r="AF113" s="9">
        <v>0</v>
      </c>
      <c r="AG113" s="9">
        <v>1</v>
      </c>
      <c r="AH113" s="9">
        <v>0</v>
      </c>
      <c r="AI113" s="9">
        <v>1</v>
      </c>
      <c r="AJ113" s="9">
        <v>0</v>
      </c>
      <c r="AK113" s="9">
        <v>1</v>
      </c>
      <c r="AL113" s="9">
        <v>0</v>
      </c>
      <c r="AM113" s="9">
        <v>1</v>
      </c>
      <c r="AN113" s="9">
        <v>0</v>
      </c>
      <c r="AO113" s="9">
        <v>1</v>
      </c>
      <c r="AP113" s="9">
        <v>0</v>
      </c>
      <c r="AQ113" s="9">
        <v>0</v>
      </c>
      <c r="AR113" s="9">
        <v>1</v>
      </c>
      <c r="AS113" s="9">
        <v>0</v>
      </c>
      <c r="AT113" s="9">
        <v>1</v>
      </c>
      <c r="AU113" s="9">
        <v>1</v>
      </c>
      <c r="AV113" s="9">
        <v>0</v>
      </c>
      <c r="AW113" s="9">
        <v>0</v>
      </c>
      <c r="AX113" s="9">
        <v>0</v>
      </c>
      <c r="AY113" s="9">
        <v>0</v>
      </c>
    </row>
    <row r="114" spans="2:75" x14ac:dyDescent="0.3">
      <c r="D114" s="125" t="s">
        <v>664</v>
      </c>
      <c r="E114" s="128"/>
      <c r="F114" s="128"/>
      <c r="G114" s="128"/>
      <c r="H114" s="128"/>
      <c r="I114" s="128"/>
      <c r="J114" s="128"/>
      <c r="K114" s="126"/>
      <c r="L114" s="125" t="s">
        <v>654</v>
      </c>
      <c r="M114" s="128"/>
      <c r="N114" s="128"/>
      <c r="O114" s="128"/>
      <c r="P114" s="128"/>
      <c r="Q114" s="128"/>
      <c r="R114" s="128"/>
      <c r="S114" s="126"/>
      <c r="T114" s="125">
        <v>55</v>
      </c>
      <c r="U114" s="128"/>
      <c r="V114" s="128"/>
      <c r="W114" s="128"/>
      <c r="X114" s="128"/>
      <c r="Y114" s="128"/>
      <c r="Z114" s="128"/>
      <c r="AA114" s="126"/>
      <c r="AB114" s="125">
        <v>55</v>
      </c>
      <c r="AC114" s="128"/>
      <c r="AD114" s="128"/>
      <c r="AE114" s="128"/>
      <c r="AF114" s="128"/>
      <c r="AG114" s="128"/>
      <c r="AH114" s="128"/>
      <c r="AI114" s="126"/>
      <c r="AJ114" s="125">
        <v>54</v>
      </c>
      <c r="AK114" s="128"/>
      <c r="AL114" s="128"/>
      <c r="AM114" s="128"/>
      <c r="AN114" s="128"/>
      <c r="AO114" s="128"/>
      <c r="AP114" s="128"/>
      <c r="AQ114" s="126"/>
      <c r="AR114" s="125" t="s">
        <v>227</v>
      </c>
      <c r="AS114" s="128"/>
      <c r="AT114" s="128"/>
      <c r="AU114" s="128"/>
      <c r="AV114" s="128"/>
      <c r="AW114" s="128"/>
      <c r="AX114" s="128"/>
      <c r="AY114" s="126"/>
    </row>
    <row r="118" spans="2:75" x14ac:dyDescent="0.3">
      <c r="B118" s="36" t="s">
        <v>527</v>
      </c>
      <c r="D118" s="132" t="s">
        <v>1006</v>
      </c>
      <c r="E118" s="132"/>
      <c r="F118" s="132"/>
      <c r="G118" s="132"/>
      <c r="H118" s="132"/>
      <c r="I118" s="132"/>
      <c r="J118" s="132"/>
      <c r="K118" s="132"/>
      <c r="L118" s="132" t="s">
        <v>1007</v>
      </c>
      <c r="M118" s="132"/>
      <c r="N118" s="132"/>
      <c r="O118" s="132"/>
      <c r="P118" s="132"/>
      <c r="Q118" s="132"/>
      <c r="R118" s="132"/>
      <c r="S118" s="132"/>
      <c r="T118" s="132" t="s">
        <v>1008</v>
      </c>
      <c r="U118" s="132"/>
      <c r="V118" s="132"/>
      <c r="W118" s="132"/>
      <c r="X118" s="132"/>
      <c r="Y118" s="132"/>
      <c r="Z118" s="132"/>
      <c r="AA118" s="132"/>
      <c r="AB118" s="132" t="s">
        <v>649</v>
      </c>
      <c r="AC118" s="132"/>
      <c r="AD118" s="132"/>
      <c r="AE118" s="132"/>
      <c r="AF118" s="132"/>
      <c r="AG118" s="132"/>
      <c r="AH118" s="132"/>
      <c r="AI118" s="132"/>
      <c r="AJ118" s="132" t="s">
        <v>650</v>
      </c>
      <c r="AK118" s="132"/>
      <c r="AL118" s="132"/>
      <c r="AM118" s="132"/>
      <c r="AN118" s="132"/>
      <c r="AO118" s="132"/>
      <c r="AP118" s="132"/>
      <c r="AQ118" s="132"/>
      <c r="AR118" s="132" t="s">
        <v>420</v>
      </c>
      <c r="AS118" s="132"/>
      <c r="AT118" s="132"/>
      <c r="AU118" s="132"/>
      <c r="AV118" s="132"/>
      <c r="AW118" s="132"/>
      <c r="AX118" s="132"/>
      <c r="AY118" s="132"/>
      <c r="AZ118" s="132" t="s">
        <v>419</v>
      </c>
      <c r="BA118" s="132"/>
      <c r="BB118" s="132"/>
      <c r="BC118" s="132"/>
      <c r="BD118" s="132"/>
      <c r="BE118" s="132"/>
      <c r="BF118" s="132"/>
      <c r="BG118" s="132"/>
      <c r="BH118" s="132" t="s">
        <v>418</v>
      </c>
      <c r="BI118" s="132"/>
      <c r="BJ118" s="132"/>
      <c r="BK118" s="132"/>
      <c r="BL118" s="132"/>
      <c r="BM118" s="132"/>
      <c r="BN118" s="132"/>
      <c r="BO118" s="132"/>
      <c r="BP118" s="132" t="s">
        <v>417</v>
      </c>
      <c r="BQ118" s="132"/>
      <c r="BR118" s="132"/>
      <c r="BS118" s="132"/>
      <c r="BT118" s="132"/>
      <c r="BU118" s="132"/>
      <c r="BV118" s="132"/>
      <c r="BW118" s="132"/>
    </row>
    <row r="119" spans="2:75" x14ac:dyDescent="0.3">
      <c r="D119" s="133" t="s">
        <v>361</v>
      </c>
      <c r="E119" s="133"/>
      <c r="F119" s="133"/>
      <c r="G119" s="133"/>
      <c r="H119" s="133"/>
      <c r="I119" s="133"/>
      <c r="J119" s="133"/>
      <c r="K119" s="133"/>
      <c r="L119" s="133"/>
      <c r="M119" s="133"/>
      <c r="N119" s="133" t="s">
        <v>364</v>
      </c>
      <c r="O119" s="133"/>
      <c r="P119" s="133"/>
      <c r="Q119" s="133"/>
      <c r="R119" s="133"/>
      <c r="S119" s="133"/>
      <c r="T119" s="133"/>
      <c r="U119" s="133"/>
      <c r="V119" s="133" t="s">
        <v>1009</v>
      </c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 t="s">
        <v>1010</v>
      </c>
      <c r="AN119" s="133"/>
      <c r="AO119" s="133" t="s">
        <v>1011</v>
      </c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 t="s">
        <v>1012</v>
      </c>
      <c r="AZ119" s="133"/>
      <c r="BA119" s="133"/>
      <c r="BB119" s="133"/>
      <c r="BC119" s="133"/>
      <c r="BD119" s="133"/>
      <c r="BE119" s="133"/>
      <c r="BF119" s="133"/>
      <c r="BG119" s="133"/>
      <c r="BH119" s="133"/>
      <c r="BI119" s="133" t="s">
        <v>1013</v>
      </c>
      <c r="BJ119" s="133"/>
      <c r="BK119" s="133"/>
      <c r="BL119" s="133"/>
      <c r="BM119" s="133"/>
      <c r="BN119" s="133"/>
      <c r="BO119" s="133"/>
      <c r="BP119" s="133"/>
      <c r="BQ119" s="133"/>
      <c r="BR119" s="133"/>
      <c r="BS119" s="14" t="s">
        <v>1014</v>
      </c>
      <c r="BT119" s="133" t="s">
        <v>1015</v>
      </c>
      <c r="BU119" s="133"/>
      <c r="BV119" s="133"/>
      <c r="BW119" s="133"/>
    </row>
    <row r="120" spans="2:75" x14ac:dyDescent="0.3">
      <c r="D120" s="5">
        <v>1</v>
      </c>
      <c r="E120" s="5">
        <v>0</v>
      </c>
      <c r="F120" s="5">
        <v>0</v>
      </c>
      <c r="G120" s="5">
        <v>1</v>
      </c>
      <c r="H120" s="5">
        <v>0</v>
      </c>
      <c r="I120" s="5">
        <v>1</v>
      </c>
      <c r="J120" s="5">
        <v>1</v>
      </c>
      <c r="K120" s="5">
        <v>0</v>
      </c>
      <c r="L120" s="5">
        <v>1</v>
      </c>
      <c r="M120" s="5">
        <v>1</v>
      </c>
      <c r="N120" s="5">
        <v>0</v>
      </c>
      <c r="O120" s="5">
        <v>1</v>
      </c>
      <c r="P120" s="5">
        <v>1</v>
      </c>
      <c r="Q120" s="5">
        <v>0</v>
      </c>
      <c r="R120" s="5">
        <v>0</v>
      </c>
      <c r="S120" s="5">
        <v>1</v>
      </c>
      <c r="T120" s="5">
        <v>1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1</v>
      </c>
      <c r="AC120" s="5">
        <v>1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1</v>
      </c>
      <c r="AQ120" s="5">
        <v>1</v>
      </c>
      <c r="AR120" s="5">
        <v>1</v>
      </c>
      <c r="AS120" s="5">
        <v>1</v>
      </c>
      <c r="AT120" s="5">
        <v>0</v>
      </c>
      <c r="AU120" s="5">
        <v>1</v>
      </c>
      <c r="AV120" s="5">
        <v>0</v>
      </c>
      <c r="AW120" s="5">
        <v>0</v>
      </c>
      <c r="AX120" s="5">
        <v>1</v>
      </c>
      <c r="AY120" s="5">
        <v>0</v>
      </c>
      <c r="AZ120" s="5">
        <v>1</v>
      </c>
      <c r="BA120" s="5">
        <v>1</v>
      </c>
      <c r="BB120" s="5">
        <v>1</v>
      </c>
      <c r="BC120" s="5">
        <v>1</v>
      </c>
      <c r="BD120" s="5">
        <v>0</v>
      </c>
      <c r="BE120" s="5">
        <v>0</v>
      </c>
      <c r="BF120" s="5">
        <v>1</v>
      </c>
      <c r="BG120" s="5">
        <v>0</v>
      </c>
      <c r="BH120" s="5">
        <v>1</v>
      </c>
      <c r="BI120" s="5">
        <v>1</v>
      </c>
      <c r="BJ120" s="5">
        <v>0</v>
      </c>
      <c r="BK120" s="5">
        <v>1</v>
      </c>
      <c r="BL120" s="5">
        <v>0</v>
      </c>
      <c r="BM120" s="5">
        <v>1</v>
      </c>
      <c r="BN120" s="5">
        <v>1</v>
      </c>
      <c r="BO120" s="5">
        <v>1</v>
      </c>
      <c r="BP120" s="5">
        <v>1</v>
      </c>
      <c r="BQ120" s="5">
        <v>1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</row>
    <row r="121" spans="2:75" x14ac:dyDescent="0.3">
      <c r="D121" s="134">
        <v>96</v>
      </c>
      <c r="E121" s="134"/>
      <c r="F121" s="134"/>
      <c r="G121" s="134"/>
      <c r="H121" s="134"/>
      <c r="I121" s="134"/>
      <c r="J121" s="134"/>
      <c r="K121" s="134"/>
      <c r="L121" s="134" t="s">
        <v>1016</v>
      </c>
      <c r="M121" s="134"/>
      <c r="N121" s="134"/>
      <c r="O121" s="134"/>
      <c r="P121" s="134"/>
      <c r="Q121" s="134"/>
      <c r="R121" s="134"/>
      <c r="S121" s="134"/>
      <c r="T121" s="134">
        <v>80</v>
      </c>
      <c r="U121" s="134"/>
      <c r="V121" s="134"/>
      <c r="W121" s="134"/>
      <c r="X121" s="134"/>
      <c r="Y121" s="134"/>
      <c r="Z121" s="134"/>
      <c r="AA121" s="134"/>
      <c r="AB121" s="134" t="s">
        <v>392</v>
      </c>
      <c r="AC121" s="134"/>
      <c r="AD121" s="134"/>
      <c r="AE121" s="134"/>
      <c r="AF121" s="134"/>
      <c r="AG121" s="134"/>
      <c r="AH121" s="134"/>
      <c r="AI121" s="134"/>
      <c r="AJ121" s="134">
        <v>3</v>
      </c>
      <c r="AK121" s="134"/>
      <c r="AL121" s="134"/>
      <c r="AM121" s="134"/>
      <c r="AN121" s="134"/>
      <c r="AO121" s="134"/>
      <c r="AP121" s="134"/>
      <c r="AQ121" s="134"/>
      <c r="AR121" s="134" t="s">
        <v>225</v>
      </c>
      <c r="AS121" s="134"/>
      <c r="AT121" s="134"/>
      <c r="AU121" s="134"/>
      <c r="AV121" s="134"/>
      <c r="AW121" s="134"/>
      <c r="AX121" s="134"/>
      <c r="AY121" s="134"/>
      <c r="AZ121" s="134" t="s">
        <v>1017</v>
      </c>
      <c r="BA121" s="134"/>
      <c r="BB121" s="134"/>
      <c r="BC121" s="134"/>
      <c r="BD121" s="134"/>
      <c r="BE121" s="134"/>
      <c r="BF121" s="134"/>
      <c r="BG121" s="134"/>
      <c r="BH121" s="134">
        <v>57</v>
      </c>
      <c r="BI121" s="134"/>
      <c r="BJ121" s="134"/>
      <c r="BK121" s="134"/>
      <c r="BL121" s="134"/>
      <c r="BM121" s="134"/>
      <c r="BN121" s="134"/>
      <c r="BO121" s="134"/>
      <c r="BP121" s="134" t="s">
        <v>392</v>
      </c>
      <c r="BQ121" s="134"/>
      <c r="BR121" s="134"/>
      <c r="BS121" s="134"/>
      <c r="BT121" s="134"/>
      <c r="BU121" s="134"/>
      <c r="BV121" s="134"/>
      <c r="BW121" s="134"/>
    </row>
    <row r="122" spans="2:75" x14ac:dyDescent="0.3"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12"/>
      <c r="O122" s="12"/>
      <c r="P122" s="12"/>
      <c r="Q122" s="12"/>
      <c r="R122" s="12"/>
      <c r="S122" s="12"/>
      <c r="T122" s="12"/>
      <c r="U122" s="12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100"/>
      <c r="AN122" s="100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01"/>
      <c r="BJ122" s="101"/>
      <c r="BK122" s="101"/>
      <c r="BL122" s="101"/>
      <c r="BM122" s="101"/>
      <c r="BN122" s="101"/>
      <c r="BO122" s="101"/>
      <c r="BP122" s="101"/>
      <c r="BQ122" s="101"/>
      <c r="BR122" s="101"/>
      <c r="BS122" s="102"/>
      <c r="BT122" s="103"/>
      <c r="BU122" s="103"/>
      <c r="BV122" s="103"/>
      <c r="BW122" s="103"/>
    </row>
    <row r="123" spans="2:75" x14ac:dyDescent="0.3">
      <c r="D123" s="134">
        <v>603</v>
      </c>
      <c r="E123" s="134"/>
      <c r="F123" s="134"/>
      <c r="G123" s="134"/>
      <c r="H123" s="134"/>
      <c r="I123" s="134"/>
      <c r="J123" s="134"/>
      <c r="K123" s="134"/>
      <c r="L123" s="134"/>
      <c r="M123" s="134"/>
      <c r="N123" s="134">
        <v>102</v>
      </c>
      <c r="O123" s="134"/>
      <c r="P123" s="134"/>
      <c r="Q123" s="134"/>
      <c r="R123" s="134"/>
      <c r="S123" s="134"/>
      <c r="T123" s="134"/>
      <c r="U123" s="134"/>
      <c r="V123" s="134">
        <v>96</v>
      </c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  <c r="AO123" s="134">
        <v>489</v>
      </c>
      <c r="AP123" s="134"/>
      <c r="AQ123" s="134"/>
      <c r="AR123" s="134"/>
      <c r="AS123" s="134"/>
      <c r="AT123" s="134"/>
      <c r="AU123" s="134"/>
      <c r="AV123" s="134"/>
      <c r="AW123" s="134"/>
      <c r="AX123" s="134"/>
      <c r="AY123" s="134">
        <v>485</v>
      </c>
      <c r="AZ123" s="134"/>
      <c r="BA123" s="134"/>
      <c r="BB123" s="134"/>
      <c r="BC123" s="134"/>
      <c r="BD123" s="134"/>
      <c r="BE123" s="134"/>
      <c r="BF123" s="134"/>
      <c r="BG123" s="134"/>
      <c r="BH123" s="134"/>
      <c r="BI123" s="134">
        <v>702</v>
      </c>
      <c r="BJ123" s="134"/>
      <c r="BK123" s="134"/>
      <c r="BL123" s="134"/>
      <c r="BM123" s="134"/>
      <c r="BN123" s="134"/>
      <c r="BO123" s="134"/>
      <c r="BP123" s="134"/>
      <c r="BQ123" s="134"/>
      <c r="BR123" s="134"/>
      <c r="BS123" s="5"/>
      <c r="BT123" s="134"/>
      <c r="BU123" s="134"/>
      <c r="BV123" s="134"/>
      <c r="BW123" s="134"/>
    </row>
    <row r="125" spans="2:75" x14ac:dyDescent="0.3">
      <c r="V125" s="106">
        <v>17</v>
      </c>
      <c r="W125" s="105">
        <v>16</v>
      </c>
      <c r="X125" s="105">
        <v>15</v>
      </c>
      <c r="Y125" s="105">
        <v>14</v>
      </c>
      <c r="Z125" s="105">
        <v>13</v>
      </c>
      <c r="AA125" s="105">
        <v>12</v>
      </c>
      <c r="AB125" s="105">
        <v>11</v>
      </c>
      <c r="AC125" s="105">
        <v>10</v>
      </c>
      <c r="AD125" s="105">
        <v>9</v>
      </c>
      <c r="AE125" s="104">
        <v>8</v>
      </c>
      <c r="AF125" s="104">
        <v>7</v>
      </c>
      <c r="AG125" s="104">
        <v>6</v>
      </c>
      <c r="AH125" s="104">
        <v>5</v>
      </c>
      <c r="AI125" s="104">
        <v>4</v>
      </c>
      <c r="AJ125" s="104">
        <v>3</v>
      </c>
      <c r="AK125" s="104">
        <v>2</v>
      </c>
      <c r="AL125" s="104">
        <v>1</v>
      </c>
    </row>
  </sheetData>
  <mergeCells count="174">
    <mergeCell ref="BT123:BW123"/>
    <mergeCell ref="D123:M123"/>
    <mergeCell ref="N123:U123"/>
    <mergeCell ref="V123:AL123"/>
    <mergeCell ref="AM123:AN123"/>
    <mergeCell ref="AO123:AX123"/>
    <mergeCell ref="AY123:BH123"/>
    <mergeCell ref="BI123:BR123"/>
    <mergeCell ref="D121:K121"/>
    <mergeCell ref="L121:S121"/>
    <mergeCell ref="T121:AA121"/>
    <mergeCell ref="AB121:AI121"/>
    <mergeCell ref="AJ121:AQ121"/>
    <mergeCell ref="AR121:AY121"/>
    <mergeCell ref="AZ121:BG121"/>
    <mergeCell ref="BH121:BO121"/>
    <mergeCell ref="BP121:BW121"/>
    <mergeCell ref="BP118:BW118"/>
    <mergeCell ref="D119:M119"/>
    <mergeCell ref="N119:U119"/>
    <mergeCell ref="V119:AL119"/>
    <mergeCell ref="AM119:AN119"/>
    <mergeCell ref="AO119:AX119"/>
    <mergeCell ref="AY119:BH119"/>
    <mergeCell ref="BI119:BR119"/>
    <mergeCell ref="BT119:BW119"/>
    <mergeCell ref="D118:K118"/>
    <mergeCell ref="L118:S118"/>
    <mergeCell ref="T118:AA118"/>
    <mergeCell ref="AB118:AI118"/>
    <mergeCell ref="AJ118:AQ118"/>
    <mergeCell ref="AR118:AY118"/>
    <mergeCell ref="AZ118:BG118"/>
    <mergeCell ref="BH118:BO118"/>
    <mergeCell ref="D94:K94"/>
    <mergeCell ref="D109:K109"/>
    <mergeCell ref="L109:S109"/>
    <mergeCell ref="T109:AA109"/>
    <mergeCell ref="D102:K102"/>
    <mergeCell ref="L102:S102"/>
    <mergeCell ref="U102:W102"/>
    <mergeCell ref="D103:K103"/>
    <mergeCell ref="Q89:AA89"/>
    <mergeCell ref="D91:K91"/>
    <mergeCell ref="L91:S91"/>
    <mergeCell ref="T91:AA91"/>
    <mergeCell ref="L94:S94"/>
    <mergeCell ref="AB109:AI109"/>
    <mergeCell ref="D97:I97"/>
    <mergeCell ref="J97:P97"/>
    <mergeCell ref="Q97:AA97"/>
    <mergeCell ref="D98:I98"/>
    <mergeCell ref="J98:P98"/>
    <mergeCell ref="Q98:AA98"/>
    <mergeCell ref="D100:K100"/>
    <mergeCell ref="L100:S100"/>
    <mergeCell ref="T100:AA100"/>
    <mergeCell ref="AB100:AI100"/>
    <mergeCell ref="D106:I106"/>
    <mergeCell ref="J106:P106"/>
    <mergeCell ref="Q106:AA106"/>
    <mergeCell ref="D107:I107"/>
    <mergeCell ref="J107:P107"/>
    <mergeCell ref="Q107:AA107"/>
    <mergeCell ref="L103:S103"/>
    <mergeCell ref="AR114:AY114"/>
    <mergeCell ref="D114:K114"/>
    <mergeCell ref="L114:S114"/>
    <mergeCell ref="T114:AA114"/>
    <mergeCell ref="AB114:AI114"/>
    <mergeCell ref="AJ114:AQ114"/>
    <mergeCell ref="AR111:AY111"/>
    <mergeCell ref="E112:H112"/>
    <mergeCell ref="I112:P112"/>
    <mergeCell ref="Q112:R112"/>
    <mergeCell ref="S112:Z112"/>
    <mergeCell ref="AA112:AH112"/>
    <mergeCell ref="AI112:AP112"/>
    <mergeCell ref="AQ112:AR112"/>
    <mergeCell ref="AS112:AU112"/>
    <mergeCell ref="D111:K111"/>
    <mergeCell ref="L111:S111"/>
    <mergeCell ref="T111:AA111"/>
    <mergeCell ref="AB111:AI111"/>
    <mergeCell ref="AJ111:AQ111"/>
    <mergeCell ref="T36:AA36"/>
    <mergeCell ref="D34:K34"/>
    <mergeCell ref="R34:AA34"/>
    <mergeCell ref="R35:AA35"/>
    <mergeCell ref="T29:AA29"/>
    <mergeCell ref="T30:AA30"/>
    <mergeCell ref="T31:AA31"/>
    <mergeCell ref="T21:AA21"/>
    <mergeCell ref="AB21:AI21"/>
    <mergeCell ref="L14:S14"/>
    <mergeCell ref="T14:AA14"/>
    <mergeCell ref="T9:AA9"/>
    <mergeCell ref="AC9:AE9"/>
    <mergeCell ref="L10:S10"/>
    <mergeCell ref="D10:K10"/>
    <mergeCell ref="T10:AA10"/>
    <mergeCell ref="D20:K20"/>
    <mergeCell ref="D26:K26"/>
    <mergeCell ref="L26:S26"/>
    <mergeCell ref="T26:AA26"/>
    <mergeCell ref="AB26:AI26"/>
    <mergeCell ref="L24:U24"/>
    <mergeCell ref="T15:AA15"/>
    <mergeCell ref="D16:K16"/>
    <mergeCell ref="L16:S16"/>
    <mergeCell ref="T16:AA16"/>
    <mergeCell ref="AB20:AI20"/>
    <mergeCell ref="AB16:AI16"/>
    <mergeCell ref="D18:K18"/>
    <mergeCell ref="L18:U18"/>
    <mergeCell ref="D19:K19"/>
    <mergeCell ref="L19:U19"/>
    <mergeCell ref="T1:AA1"/>
    <mergeCell ref="AB1:AI1"/>
    <mergeCell ref="D4:K4"/>
    <mergeCell ref="L4:S4"/>
    <mergeCell ref="T4:AA4"/>
    <mergeCell ref="AB4:AI4"/>
    <mergeCell ref="D39:K39"/>
    <mergeCell ref="D43:K43"/>
    <mergeCell ref="L43:S43"/>
    <mergeCell ref="D1:K1"/>
    <mergeCell ref="L1:S1"/>
    <mergeCell ref="D9:K9"/>
    <mergeCell ref="L9:S9"/>
    <mergeCell ref="D11:K11"/>
    <mergeCell ref="L11:S11"/>
    <mergeCell ref="D15:K15"/>
    <mergeCell ref="L15:S15"/>
    <mergeCell ref="D24:K24"/>
    <mergeCell ref="D25:K25"/>
    <mergeCell ref="D21:K21"/>
    <mergeCell ref="L21:S21"/>
    <mergeCell ref="T11:AA11"/>
    <mergeCell ref="AB11:AI11"/>
    <mergeCell ref="D14:K14"/>
    <mergeCell ref="D47:K47"/>
    <mergeCell ref="D51:K51"/>
    <mergeCell ref="L51:S51"/>
    <mergeCell ref="D55:K55"/>
    <mergeCell ref="D59:K59"/>
    <mergeCell ref="L59:S59"/>
    <mergeCell ref="D63:K63"/>
    <mergeCell ref="D67:K67"/>
    <mergeCell ref="D71:K71"/>
    <mergeCell ref="AD93:AE93"/>
    <mergeCell ref="AH93:AI93"/>
    <mergeCell ref="V93:AA93"/>
    <mergeCell ref="AG71:AH71"/>
    <mergeCell ref="AG72:AH72"/>
    <mergeCell ref="AG73:AH73"/>
    <mergeCell ref="D75:K75"/>
    <mergeCell ref="AG75:AH75"/>
    <mergeCell ref="AG76:AH76"/>
    <mergeCell ref="AG77:AH77"/>
    <mergeCell ref="D84:K84"/>
    <mergeCell ref="L84:S84"/>
    <mergeCell ref="U84:W84"/>
    <mergeCell ref="D80:K80"/>
    <mergeCell ref="M80:S80"/>
    <mergeCell ref="T80:AA80"/>
    <mergeCell ref="AB91:AI91"/>
    <mergeCell ref="D89:I89"/>
    <mergeCell ref="J89:P89"/>
    <mergeCell ref="D88:I88"/>
    <mergeCell ref="Q88:AA88"/>
    <mergeCell ref="J88:P88"/>
    <mergeCell ref="D93:K93"/>
    <mergeCell ref="L93:S93"/>
  </mergeCells>
  <phoneticPr fontId="1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A853-E252-4A85-9CDA-3F8456708FAF}">
  <dimension ref="B1:T72"/>
  <sheetViews>
    <sheetView topLeftCell="A10" workbookViewId="0">
      <selection activeCell="X16" sqref="X16"/>
    </sheetView>
  </sheetViews>
  <sheetFormatPr baseColWidth="10" defaultRowHeight="14.4" x14ac:dyDescent="0.3"/>
  <cols>
    <col min="1" max="1" width="4.6640625" customWidth="1"/>
    <col min="2" max="2" width="23.6640625" style="15" customWidth="1"/>
    <col min="3" max="3" width="7.44140625" style="1" customWidth="1"/>
    <col min="4" max="20" width="5.6640625" style="1" customWidth="1"/>
  </cols>
  <sheetData>
    <row r="1" spans="2:20" ht="23.4" x14ac:dyDescent="0.45">
      <c r="B1" s="58" t="s">
        <v>768</v>
      </c>
    </row>
    <row r="2" spans="2:20" x14ac:dyDescent="0.3">
      <c r="C2" s="3" t="s">
        <v>719</v>
      </c>
      <c r="D2" s="3"/>
      <c r="E2" s="3" t="s">
        <v>720</v>
      </c>
      <c r="F2" s="3"/>
      <c r="H2" s="3" t="s">
        <v>721</v>
      </c>
    </row>
    <row r="4" spans="2:20" x14ac:dyDescent="0.3">
      <c r="C4" s="1">
        <v>35</v>
      </c>
      <c r="D4" s="55" t="s">
        <v>750</v>
      </c>
      <c r="E4" s="53">
        <v>93</v>
      </c>
      <c r="F4" s="49" t="s">
        <v>392</v>
      </c>
      <c r="G4" s="49" t="s">
        <v>711</v>
      </c>
      <c r="H4" s="49" t="s">
        <v>712</v>
      </c>
      <c r="I4" s="51">
        <v>45</v>
      </c>
      <c r="J4" s="51" t="s">
        <v>713</v>
      </c>
      <c r="K4" s="51" t="s">
        <v>714</v>
      </c>
      <c r="L4" s="51">
        <v>63</v>
      </c>
      <c r="M4" s="51">
        <v>65</v>
      </c>
      <c r="N4" s="51">
        <v>61</v>
      </c>
      <c r="O4" s="51" t="s">
        <v>713</v>
      </c>
      <c r="P4" s="1">
        <v>1</v>
      </c>
      <c r="Q4" s="1" t="s">
        <v>715</v>
      </c>
      <c r="R4" s="1" t="s">
        <v>397</v>
      </c>
      <c r="S4" s="1" t="s">
        <v>716</v>
      </c>
      <c r="T4" s="1">
        <v>0</v>
      </c>
    </row>
    <row r="5" spans="2:20" x14ac:dyDescent="0.3">
      <c r="C5" s="1">
        <v>35</v>
      </c>
      <c r="D5" s="1">
        <v>40</v>
      </c>
      <c r="E5" s="51">
        <v>20</v>
      </c>
      <c r="F5" s="51">
        <v>47</v>
      </c>
      <c r="G5" s="51" t="s">
        <v>717</v>
      </c>
      <c r="H5" s="51">
        <v>62</v>
      </c>
      <c r="I5" s="51">
        <v>48</v>
      </c>
      <c r="J5" s="51" t="s">
        <v>718</v>
      </c>
      <c r="K5" s="51">
        <v>31</v>
      </c>
      <c r="L5" s="51">
        <v>33</v>
      </c>
      <c r="M5" s="51">
        <v>0</v>
      </c>
      <c r="N5" s="1">
        <v>1</v>
      </c>
      <c r="O5" s="1" t="s">
        <v>715</v>
      </c>
      <c r="P5" s="1" t="s">
        <v>397</v>
      </c>
      <c r="Q5" s="1" t="s">
        <v>716</v>
      </c>
      <c r="R5" s="1">
        <v>0</v>
      </c>
    </row>
    <row r="7" spans="2:20" x14ac:dyDescent="0.3">
      <c r="B7" s="54" t="s">
        <v>748</v>
      </c>
      <c r="C7" s="1" t="s">
        <v>749</v>
      </c>
    </row>
    <row r="8" spans="2:20" x14ac:dyDescent="0.3">
      <c r="B8" s="54" t="s">
        <v>722</v>
      </c>
      <c r="C8" s="1" t="s">
        <v>746</v>
      </c>
    </row>
    <row r="9" spans="2:20" x14ac:dyDescent="0.3">
      <c r="B9" s="52" t="s">
        <v>724</v>
      </c>
      <c r="C9" s="1" t="s">
        <v>745</v>
      </c>
    </row>
    <row r="10" spans="2:20" x14ac:dyDescent="0.3">
      <c r="B10" s="3" t="s">
        <v>725</v>
      </c>
    </row>
    <row r="11" spans="2:20" x14ac:dyDescent="0.3">
      <c r="B11" s="50" t="s">
        <v>726</v>
      </c>
      <c r="C11" s="1" t="s">
        <v>727</v>
      </c>
      <c r="D11" s="1" t="s">
        <v>728</v>
      </c>
      <c r="E11" s="1" t="s">
        <v>729</v>
      </c>
      <c r="F11" s="1" t="s">
        <v>730</v>
      </c>
      <c r="G11" s="1" t="s">
        <v>731</v>
      </c>
      <c r="H11" s="1" t="s">
        <v>732</v>
      </c>
      <c r="I11" s="1" t="s">
        <v>728</v>
      </c>
      <c r="J11" s="1" t="s">
        <v>733</v>
      </c>
      <c r="K11" s="1" t="s">
        <v>729</v>
      </c>
      <c r="L11" s="1" t="s">
        <v>734</v>
      </c>
      <c r="M11" s="1" t="s">
        <v>735</v>
      </c>
      <c r="N11" s="1" t="s">
        <v>736</v>
      </c>
      <c r="O11" s="1" t="s">
        <v>737</v>
      </c>
      <c r="P11" s="1" t="s">
        <v>738</v>
      </c>
      <c r="Q11" s="1" t="s">
        <v>739</v>
      </c>
      <c r="R11" s="1" t="s">
        <v>723</v>
      </c>
    </row>
    <row r="12" spans="2:20" x14ac:dyDescent="0.3">
      <c r="B12" s="48" t="s">
        <v>740</v>
      </c>
      <c r="C12" s="3" t="s">
        <v>741</v>
      </c>
    </row>
    <row r="15" spans="2:20" ht="23.4" x14ac:dyDescent="0.45">
      <c r="B15" s="58" t="s">
        <v>769</v>
      </c>
    </row>
    <row r="16" spans="2:20" ht="16.5" customHeight="1" x14ac:dyDescent="0.45">
      <c r="B16" s="59"/>
      <c r="C16" s="3" t="s">
        <v>719</v>
      </c>
      <c r="D16" s="3"/>
      <c r="E16" s="3" t="s">
        <v>771</v>
      </c>
      <c r="F16" s="3"/>
      <c r="H16" s="3" t="s">
        <v>770</v>
      </c>
    </row>
    <row r="17" spans="2:20" ht="16.5" customHeight="1" x14ac:dyDescent="0.45">
      <c r="B17" s="59"/>
      <c r="C17" s="3"/>
      <c r="D17" s="3"/>
      <c r="E17" s="3"/>
      <c r="F17" s="3"/>
      <c r="H17" s="3"/>
    </row>
    <row r="18" spans="2:20" x14ac:dyDescent="0.3">
      <c r="C18" s="1">
        <v>35</v>
      </c>
      <c r="D18" s="55" t="s">
        <v>751</v>
      </c>
      <c r="E18" s="53" t="s">
        <v>743</v>
      </c>
      <c r="F18" s="49" t="s">
        <v>772</v>
      </c>
      <c r="G18" s="49" t="s">
        <v>773</v>
      </c>
      <c r="H18" s="51">
        <v>45</v>
      </c>
      <c r="I18" s="51" t="s">
        <v>713</v>
      </c>
      <c r="J18" s="51" t="s">
        <v>714</v>
      </c>
      <c r="K18" s="51">
        <v>63</v>
      </c>
      <c r="L18" s="51">
        <v>65</v>
      </c>
      <c r="M18" s="51">
        <v>61</v>
      </c>
      <c r="N18" s="51" t="s">
        <v>713</v>
      </c>
      <c r="O18" s="57">
        <v>1</v>
      </c>
      <c r="P18" s="57" t="s">
        <v>715</v>
      </c>
      <c r="Q18" s="57" t="s">
        <v>397</v>
      </c>
      <c r="R18" s="57" t="s">
        <v>716</v>
      </c>
      <c r="S18" s="1">
        <v>0</v>
      </c>
    </row>
    <row r="19" spans="2:20" x14ac:dyDescent="0.3">
      <c r="C19" s="1">
        <v>35</v>
      </c>
      <c r="D19" s="1">
        <v>40</v>
      </c>
      <c r="E19" s="51">
        <v>20</v>
      </c>
      <c r="F19" s="51">
        <v>47</v>
      </c>
      <c r="G19" s="51" t="s">
        <v>717</v>
      </c>
      <c r="H19" s="51">
        <v>62</v>
      </c>
      <c r="I19" s="51">
        <v>48</v>
      </c>
      <c r="J19" s="51" t="s">
        <v>718</v>
      </c>
      <c r="K19" s="51">
        <v>31</v>
      </c>
      <c r="L19" s="51">
        <v>33</v>
      </c>
      <c r="M19" s="51">
        <v>0</v>
      </c>
      <c r="N19" s="57">
        <v>1</v>
      </c>
      <c r="O19" s="57" t="s">
        <v>715</v>
      </c>
      <c r="P19" s="57" t="s">
        <v>397</v>
      </c>
      <c r="Q19" s="57" t="s">
        <v>716</v>
      </c>
      <c r="R19" s="1">
        <v>0</v>
      </c>
    </row>
    <row r="21" spans="2:20" x14ac:dyDescent="0.3">
      <c r="B21" s="54" t="s">
        <v>748</v>
      </c>
      <c r="C21" s="1" t="s">
        <v>749</v>
      </c>
    </row>
    <row r="22" spans="2:20" x14ac:dyDescent="0.3">
      <c r="B22" s="54" t="s">
        <v>722</v>
      </c>
      <c r="C22" s="1" t="s">
        <v>742</v>
      </c>
      <c r="D22" t="s">
        <v>775</v>
      </c>
    </row>
    <row r="23" spans="2:20" x14ac:dyDescent="0.3">
      <c r="B23" s="52" t="s">
        <v>724</v>
      </c>
      <c r="C23" s="1" t="s">
        <v>744</v>
      </c>
    </row>
    <row r="24" spans="2:20" x14ac:dyDescent="0.3">
      <c r="B24" s="3" t="s">
        <v>776</v>
      </c>
    </row>
    <row r="25" spans="2:20" x14ac:dyDescent="0.3">
      <c r="B25" s="50" t="s">
        <v>726</v>
      </c>
      <c r="C25" s="1" t="s">
        <v>727</v>
      </c>
      <c r="D25" s="1" t="s">
        <v>728</v>
      </c>
      <c r="E25" s="1" t="s">
        <v>729</v>
      </c>
      <c r="F25" s="1" t="s">
        <v>730</v>
      </c>
      <c r="G25" s="1" t="s">
        <v>731</v>
      </c>
      <c r="H25" s="1" t="s">
        <v>732</v>
      </c>
      <c r="I25" s="1" t="s">
        <v>728</v>
      </c>
      <c r="J25" s="1" t="s">
        <v>733</v>
      </c>
      <c r="K25" s="1" t="s">
        <v>729</v>
      </c>
      <c r="L25" s="1" t="s">
        <v>734</v>
      </c>
      <c r="M25" s="1" t="s">
        <v>735</v>
      </c>
      <c r="N25" s="1" t="s">
        <v>736</v>
      </c>
      <c r="O25" s="1" t="s">
        <v>737</v>
      </c>
      <c r="P25" s="1" t="s">
        <v>738</v>
      </c>
      <c r="Q25" s="1" t="s">
        <v>739</v>
      </c>
      <c r="R25" s="1" t="s">
        <v>723</v>
      </c>
    </row>
    <row r="26" spans="2:20" x14ac:dyDescent="0.3">
      <c r="B26" s="48" t="s">
        <v>740</v>
      </c>
      <c r="C26" s="3" t="s">
        <v>774</v>
      </c>
    </row>
    <row r="27" spans="2:20" x14ac:dyDescent="0.3">
      <c r="B27" s="56" t="s">
        <v>765</v>
      </c>
    </row>
    <row r="29" spans="2:20" x14ac:dyDescent="0.3">
      <c r="B29" s="15" t="s">
        <v>752</v>
      </c>
    </row>
    <row r="30" spans="2:20" x14ac:dyDescent="0.3">
      <c r="C30" s="1">
        <v>35</v>
      </c>
      <c r="D30" s="1">
        <v>24</v>
      </c>
      <c r="E30" s="53" t="s">
        <v>743</v>
      </c>
      <c r="F30" s="49">
        <v>28</v>
      </c>
      <c r="G30" s="49" t="s">
        <v>753</v>
      </c>
      <c r="H30" s="51" t="s">
        <v>754</v>
      </c>
      <c r="I30" s="51">
        <v>28</v>
      </c>
      <c r="J30" s="51" t="s">
        <v>755</v>
      </c>
      <c r="K30" s="51" t="s">
        <v>756</v>
      </c>
      <c r="L30" s="51" t="s">
        <v>757</v>
      </c>
      <c r="M30" s="57" t="s">
        <v>711</v>
      </c>
      <c r="N30" s="57" t="s">
        <v>764</v>
      </c>
      <c r="O30" s="57" t="s">
        <v>763</v>
      </c>
      <c r="P30" s="57" t="s">
        <v>223</v>
      </c>
      <c r="Q30" s="1">
        <v>0</v>
      </c>
    </row>
    <row r="31" spans="2:20" x14ac:dyDescent="0.3">
      <c r="C31" s="1">
        <v>35</v>
      </c>
      <c r="D31" s="1">
        <v>40</v>
      </c>
      <c r="E31" s="51" t="s">
        <v>759</v>
      </c>
      <c r="F31" s="51" t="s">
        <v>760</v>
      </c>
      <c r="G31" s="51">
        <v>46</v>
      </c>
      <c r="H31" s="51" t="s">
        <v>399</v>
      </c>
      <c r="I31" s="51">
        <v>51</v>
      </c>
      <c r="J31" s="51" t="s">
        <v>761</v>
      </c>
      <c r="K31" s="51">
        <v>8</v>
      </c>
      <c r="L31" s="51" t="s">
        <v>711</v>
      </c>
      <c r="M31" s="51" t="s">
        <v>762</v>
      </c>
      <c r="N31" s="51">
        <v>37</v>
      </c>
      <c r="O31" s="51">
        <v>17</v>
      </c>
      <c r="P31" s="57" t="s">
        <v>711</v>
      </c>
      <c r="Q31" s="57" t="s">
        <v>764</v>
      </c>
      <c r="R31" s="57" t="s">
        <v>763</v>
      </c>
      <c r="S31" s="57" t="s">
        <v>223</v>
      </c>
      <c r="T31" s="1">
        <v>0</v>
      </c>
    </row>
    <row r="33" spans="2:18" x14ac:dyDescent="0.3">
      <c r="B33" s="54" t="s">
        <v>748</v>
      </c>
      <c r="C33" s="1" t="s">
        <v>749</v>
      </c>
    </row>
    <row r="34" spans="2:18" x14ac:dyDescent="0.3">
      <c r="B34" s="54" t="s">
        <v>722</v>
      </c>
      <c r="C34" s="1" t="s">
        <v>742</v>
      </c>
    </row>
    <row r="35" spans="2:18" x14ac:dyDescent="0.3">
      <c r="B35" s="52" t="s">
        <v>724</v>
      </c>
      <c r="C35" s="1" t="s">
        <v>744</v>
      </c>
    </row>
    <row r="36" spans="2:18" x14ac:dyDescent="0.3">
      <c r="B36" s="3" t="s">
        <v>747</v>
      </c>
    </row>
    <row r="37" spans="2:18" x14ac:dyDescent="0.3">
      <c r="B37" s="50" t="s">
        <v>726</v>
      </c>
      <c r="C37" s="1" t="s">
        <v>766</v>
      </c>
      <c r="D37" s="1" t="s">
        <v>767</v>
      </c>
      <c r="E37" s="1" t="s">
        <v>755</v>
      </c>
      <c r="F37" s="1" t="s">
        <v>756</v>
      </c>
      <c r="G37" s="1" t="s">
        <v>757</v>
      </c>
      <c r="H37" s="1" t="s">
        <v>759</v>
      </c>
      <c r="I37" s="1" t="s">
        <v>760</v>
      </c>
      <c r="J37" s="1">
        <v>46</v>
      </c>
      <c r="K37" s="1" t="s">
        <v>399</v>
      </c>
      <c r="L37" s="1">
        <v>51</v>
      </c>
      <c r="M37" s="1" t="s">
        <v>761</v>
      </c>
      <c r="N37" s="1">
        <v>8</v>
      </c>
      <c r="O37" s="1" t="s">
        <v>711</v>
      </c>
      <c r="P37" s="1" t="s">
        <v>762</v>
      </c>
      <c r="Q37" s="1">
        <v>37</v>
      </c>
      <c r="R37" s="1">
        <v>17</v>
      </c>
    </row>
    <row r="38" spans="2:18" x14ac:dyDescent="0.3">
      <c r="B38" s="48" t="s">
        <v>740</v>
      </c>
      <c r="C38" s="3" t="s">
        <v>758</v>
      </c>
    </row>
    <row r="39" spans="2:18" x14ac:dyDescent="0.3">
      <c r="B39" s="56" t="s">
        <v>765</v>
      </c>
    </row>
    <row r="43" spans="2:18" ht="21" x14ac:dyDescent="0.4">
      <c r="B43" s="61" t="s">
        <v>777</v>
      </c>
    </row>
    <row r="44" spans="2:18" x14ac:dyDescent="0.3">
      <c r="C44" s="9">
        <v>7</v>
      </c>
      <c r="D44" s="9">
        <v>6</v>
      </c>
      <c r="E44" s="9">
        <v>5</v>
      </c>
      <c r="F44" s="9">
        <v>4</v>
      </c>
      <c r="G44" s="9">
        <v>3</v>
      </c>
      <c r="H44" s="9">
        <v>2</v>
      </c>
      <c r="I44" s="9">
        <v>1</v>
      </c>
      <c r="J44" s="9">
        <v>0</v>
      </c>
    </row>
    <row r="45" spans="2:18" x14ac:dyDescent="0.3">
      <c r="C45" s="134" t="s">
        <v>778</v>
      </c>
      <c r="D45" s="134"/>
      <c r="E45" s="134" t="s">
        <v>779</v>
      </c>
      <c r="F45" s="134"/>
      <c r="G45" s="9" t="s">
        <v>781</v>
      </c>
      <c r="H45" s="9" t="s">
        <v>782</v>
      </c>
      <c r="I45" s="134" t="s">
        <v>780</v>
      </c>
      <c r="J45" s="134"/>
    </row>
    <row r="47" spans="2:18" x14ac:dyDescent="0.3">
      <c r="B47" s="60" t="s">
        <v>783</v>
      </c>
      <c r="D47" t="s">
        <v>784</v>
      </c>
    </row>
    <row r="48" spans="2:18" x14ac:dyDescent="0.3">
      <c r="B48" s="60" t="s">
        <v>785</v>
      </c>
      <c r="D48" t="s">
        <v>786</v>
      </c>
      <c r="F48" t="s">
        <v>787</v>
      </c>
    </row>
    <row r="49" spans="2:6" x14ac:dyDescent="0.3">
      <c r="D49" t="s">
        <v>788</v>
      </c>
      <c r="F49" t="s">
        <v>789</v>
      </c>
    </row>
    <row r="50" spans="2:6" x14ac:dyDescent="0.3">
      <c r="B50" s="60" t="s">
        <v>790</v>
      </c>
      <c r="D50" t="s">
        <v>786</v>
      </c>
      <c r="F50" t="s">
        <v>791</v>
      </c>
    </row>
    <row r="51" spans="2:6" x14ac:dyDescent="0.3">
      <c r="F51" s="3" t="s">
        <v>792</v>
      </c>
    </row>
    <row r="52" spans="2:6" x14ac:dyDescent="0.3">
      <c r="D52" t="s">
        <v>788</v>
      </c>
      <c r="F52" t="s">
        <v>789</v>
      </c>
    </row>
    <row r="53" spans="2:6" x14ac:dyDescent="0.3">
      <c r="B53" s="60" t="s">
        <v>793</v>
      </c>
      <c r="D53" s="3" t="s">
        <v>786</v>
      </c>
      <c r="F53" t="s">
        <v>794</v>
      </c>
    </row>
    <row r="54" spans="2:6" x14ac:dyDescent="0.3">
      <c r="F54" t="s">
        <v>795</v>
      </c>
    </row>
    <row r="55" spans="2:6" x14ac:dyDescent="0.3">
      <c r="F55" s="1" t="s">
        <v>796</v>
      </c>
    </row>
    <row r="56" spans="2:6" x14ac:dyDescent="0.3">
      <c r="D56" t="s">
        <v>788</v>
      </c>
      <c r="F56" t="s">
        <v>789</v>
      </c>
    </row>
    <row r="57" spans="2:6" x14ac:dyDescent="0.3">
      <c r="B57" s="60" t="s">
        <v>797</v>
      </c>
      <c r="D57" t="s">
        <v>804</v>
      </c>
    </row>
    <row r="58" spans="2:6" x14ac:dyDescent="0.3">
      <c r="D58" t="s">
        <v>798</v>
      </c>
    </row>
    <row r="59" spans="2:6" x14ac:dyDescent="0.3">
      <c r="E59" t="s">
        <v>799</v>
      </c>
    </row>
    <row r="60" spans="2:6" x14ac:dyDescent="0.3">
      <c r="E60" s="3" t="s">
        <v>800</v>
      </c>
    </row>
    <row r="61" spans="2:6" x14ac:dyDescent="0.3">
      <c r="D61" s="3" t="s">
        <v>801</v>
      </c>
    </row>
    <row r="62" spans="2:6" x14ac:dyDescent="0.3">
      <c r="E62" s="3" t="s">
        <v>802</v>
      </c>
    </row>
    <row r="63" spans="2:6" x14ac:dyDescent="0.3">
      <c r="E63" s="3" t="s">
        <v>803</v>
      </c>
    </row>
    <row r="67" spans="2:11" ht="21" x14ac:dyDescent="0.4">
      <c r="B67" s="61" t="s">
        <v>805</v>
      </c>
    </row>
    <row r="68" spans="2:11" x14ac:dyDescent="0.3">
      <c r="C68" s="1" t="s">
        <v>806</v>
      </c>
      <c r="D68" s="1" t="s">
        <v>744</v>
      </c>
    </row>
    <row r="69" spans="2:11" x14ac:dyDescent="0.3">
      <c r="C69" s="9">
        <v>7</v>
      </c>
      <c r="D69" s="9">
        <v>6</v>
      </c>
      <c r="E69" s="9">
        <v>5</v>
      </c>
      <c r="F69" s="9">
        <v>4</v>
      </c>
      <c r="G69" s="9">
        <v>3</v>
      </c>
      <c r="H69" s="9">
        <v>2</v>
      </c>
      <c r="I69" s="9">
        <v>1</v>
      </c>
      <c r="J69" s="9">
        <v>0</v>
      </c>
    </row>
    <row r="70" spans="2:11" x14ac:dyDescent="0.3">
      <c r="C70" s="134" t="s">
        <v>807</v>
      </c>
      <c r="D70" s="134"/>
      <c r="E70" s="134"/>
      <c r="F70" s="134" t="s">
        <v>808</v>
      </c>
      <c r="G70" s="134"/>
      <c r="H70" s="134" t="s">
        <v>809</v>
      </c>
      <c r="I70" s="134"/>
      <c r="J70" s="134"/>
    </row>
    <row r="71" spans="2:11" x14ac:dyDescent="0.3">
      <c r="C71" s="9">
        <v>0</v>
      </c>
      <c r="D71" s="9">
        <v>1</v>
      </c>
      <c r="E71" s="9">
        <v>0</v>
      </c>
      <c r="F71" s="9">
        <v>0</v>
      </c>
      <c r="G71" s="9">
        <v>1</v>
      </c>
      <c r="H71" s="9">
        <v>0</v>
      </c>
      <c r="I71" s="9">
        <v>1</v>
      </c>
      <c r="J71" s="9">
        <v>1</v>
      </c>
      <c r="K71" s="62" t="s">
        <v>810</v>
      </c>
    </row>
    <row r="72" spans="2:11" x14ac:dyDescent="0.3">
      <c r="C72" s="134">
        <v>2</v>
      </c>
      <c r="D72" s="134"/>
      <c r="E72" s="134"/>
      <c r="F72" s="134">
        <v>1</v>
      </c>
      <c r="G72" s="134"/>
      <c r="H72" s="134">
        <v>3</v>
      </c>
      <c r="I72" s="134"/>
      <c r="J72" s="134"/>
    </row>
  </sheetData>
  <mergeCells count="9">
    <mergeCell ref="C72:E72"/>
    <mergeCell ref="F72:G72"/>
    <mergeCell ref="H72:J72"/>
    <mergeCell ref="C45:D45"/>
    <mergeCell ref="E45:F45"/>
    <mergeCell ref="I45:J45"/>
    <mergeCell ref="C70:E70"/>
    <mergeCell ref="F70:G70"/>
    <mergeCell ref="H70:J70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AD5F-6E5E-4286-9FD7-F009BCE54258}">
  <dimension ref="B3:P37"/>
  <sheetViews>
    <sheetView topLeftCell="A15" workbookViewId="0">
      <selection activeCell="K21" sqref="K21"/>
    </sheetView>
  </sheetViews>
  <sheetFormatPr baseColWidth="10" defaultRowHeight="14.4" x14ac:dyDescent="0.3"/>
  <cols>
    <col min="16" max="16" width="11.44140625" style="20"/>
  </cols>
  <sheetData>
    <row r="3" spans="2:12" x14ac:dyDescent="0.3">
      <c r="B3" s="110" t="s">
        <v>709</v>
      </c>
      <c r="C3" s="110"/>
      <c r="E3" s="110" t="s">
        <v>709</v>
      </c>
      <c r="F3" s="110"/>
      <c r="G3" s="15"/>
      <c r="L3" s="15"/>
    </row>
    <row r="4" spans="2:12" x14ac:dyDescent="0.3">
      <c r="B4" s="71">
        <v>0</v>
      </c>
      <c r="C4" s="71">
        <v>100</v>
      </c>
      <c r="D4" t="s">
        <v>710</v>
      </c>
      <c r="E4" s="71">
        <v>0</v>
      </c>
      <c r="F4" s="71">
        <v>255</v>
      </c>
      <c r="J4" s="110" t="s">
        <v>888</v>
      </c>
      <c r="K4" s="110"/>
    </row>
    <row r="5" spans="2:12" x14ac:dyDescent="0.3">
      <c r="B5" s="14">
        <v>0</v>
      </c>
      <c r="C5" s="14">
        <v>200</v>
      </c>
      <c r="E5" s="14">
        <v>20</v>
      </c>
      <c r="F5" s="14">
        <v>80</v>
      </c>
      <c r="G5" t="s">
        <v>710</v>
      </c>
      <c r="J5">
        <v>0</v>
      </c>
      <c r="K5">
        <v>10</v>
      </c>
      <c r="L5" t="s">
        <v>889</v>
      </c>
    </row>
    <row r="6" spans="2:12" x14ac:dyDescent="0.3">
      <c r="B6" s="72">
        <f>B5+(0-B5)</f>
        <v>0</v>
      </c>
      <c r="C6" s="72">
        <f>C4+(0-B4)</f>
        <v>100</v>
      </c>
      <c r="D6" t="s">
        <v>377</v>
      </c>
      <c r="E6" s="72">
        <f>E5+(0-E5)</f>
        <v>0</v>
      </c>
      <c r="F6" s="72">
        <f>F5+(0-E5)</f>
        <v>60</v>
      </c>
      <c r="G6" t="s">
        <v>870</v>
      </c>
      <c r="J6">
        <v>1</v>
      </c>
      <c r="K6">
        <v>60</v>
      </c>
      <c r="L6" t="s">
        <v>889</v>
      </c>
    </row>
    <row r="7" spans="2:12" x14ac:dyDescent="0.3">
      <c r="B7" s="72">
        <f xml:space="preserve"> (B4-B5)</f>
        <v>0</v>
      </c>
      <c r="C7" s="73">
        <f>C6/C5</f>
        <v>0.5</v>
      </c>
      <c r="E7" s="72">
        <f xml:space="preserve"> (0-E5)*(-1)</f>
        <v>20</v>
      </c>
      <c r="F7" s="73">
        <f>F4/F6</f>
        <v>4.25</v>
      </c>
      <c r="G7" t="s">
        <v>871</v>
      </c>
      <c r="J7">
        <v>2</v>
      </c>
      <c r="K7" s="79">
        <v>90</v>
      </c>
      <c r="L7" t="s">
        <v>889</v>
      </c>
    </row>
    <row r="8" spans="2:12" x14ac:dyDescent="0.3">
      <c r="B8" s="72">
        <f>B5/C7+B7</f>
        <v>0</v>
      </c>
      <c r="C8" s="72">
        <f>C4*C7</f>
        <v>50</v>
      </c>
      <c r="E8" s="72">
        <f>E4/F7+E7</f>
        <v>20</v>
      </c>
      <c r="F8" s="72">
        <f>F4/F7+E7</f>
        <v>80</v>
      </c>
      <c r="G8" t="s">
        <v>872</v>
      </c>
      <c r="J8">
        <v>3</v>
      </c>
      <c r="K8">
        <v>120</v>
      </c>
      <c r="L8" t="s">
        <v>889</v>
      </c>
    </row>
    <row r="9" spans="2:12" ht="15" thickBot="1" x14ac:dyDescent="0.35">
      <c r="J9" s="14">
        <v>50</v>
      </c>
      <c r="K9" s="80">
        <f>30+(J9*30)</f>
        <v>1530</v>
      </c>
      <c r="L9" t="s">
        <v>889</v>
      </c>
    </row>
    <row r="10" spans="2:12" ht="15" thickBot="1" x14ac:dyDescent="0.35">
      <c r="B10" s="75" t="s">
        <v>873</v>
      </c>
      <c r="C10" s="77">
        <f>C7</f>
        <v>0.5</v>
      </c>
      <c r="E10" s="75" t="s">
        <v>873</v>
      </c>
      <c r="F10" s="77">
        <f>F7</f>
        <v>4.25</v>
      </c>
      <c r="J10">
        <v>50</v>
      </c>
      <c r="K10" s="15">
        <v>3</v>
      </c>
      <c r="L10" t="s">
        <v>890</v>
      </c>
    </row>
    <row r="11" spans="2:12" ht="15" thickBot="1" x14ac:dyDescent="0.35">
      <c r="B11" s="75" t="s">
        <v>874</v>
      </c>
      <c r="C11" s="76">
        <f>B7</f>
        <v>0</v>
      </c>
      <c r="E11" s="75" t="s">
        <v>874</v>
      </c>
      <c r="F11" s="76">
        <f>E7</f>
        <v>20</v>
      </c>
      <c r="J11">
        <v>51</v>
      </c>
      <c r="K11" s="15">
        <v>6</v>
      </c>
      <c r="L11" t="s">
        <v>890</v>
      </c>
    </row>
    <row r="12" spans="2:12" x14ac:dyDescent="0.3">
      <c r="B12" s="108" t="s">
        <v>876</v>
      </c>
      <c r="C12" s="109"/>
      <c r="E12" s="108" t="s">
        <v>876</v>
      </c>
      <c r="F12" s="109"/>
      <c r="J12">
        <v>52</v>
      </c>
      <c r="K12" s="15">
        <v>9</v>
      </c>
      <c r="L12" t="s">
        <v>890</v>
      </c>
    </row>
    <row r="13" spans="2:12" ht="15" thickBot="1" x14ac:dyDescent="0.35">
      <c r="J13" s="14">
        <v>63</v>
      </c>
      <c r="K13" s="80">
        <f>3+(J13-50)*3</f>
        <v>42</v>
      </c>
      <c r="L13" t="s">
        <v>890</v>
      </c>
    </row>
    <row r="14" spans="2:12" ht="15" thickBot="1" x14ac:dyDescent="0.35">
      <c r="B14" t="s">
        <v>875</v>
      </c>
      <c r="C14" s="74">
        <v>200</v>
      </c>
      <c r="E14" t="s">
        <v>875</v>
      </c>
      <c r="F14" s="74">
        <v>200</v>
      </c>
    </row>
    <row r="15" spans="2:12" x14ac:dyDescent="0.3">
      <c r="C15" s="81">
        <f>C14*C10+C11</f>
        <v>100</v>
      </c>
      <c r="D15" t="s">
        <v>710</v>
      </c>
      <c r="F15" s="81">
        <f>F14/F10+F11</f>
        <v>67.058823529411768</v>
      </c>
    </row>
    <row r="16" spans="2:12" ht="15" thickBot="1" x14ac:dyDescent="0.35"/>
    <row r="17" spans="2:16" ht="15" thickBot="1" x14ac:dyDescent="0.35">
      <c r="B17" t="s">
        <v>875</v>
      </c>
      <c r="C17" s="74">
        <v>21</v>
      </c>
      <c r="D17" t="s">
        <v>710</v>
      </c>
      <c r="O17">
        <v>10</v>
      </c>
      <c r="P17" s="107">
        <v>4</v>
      </c>
    </row>
    <row r="18" spans="2:16" x14ac:dyDescent="0.3">
      <c r="C18" s="81">
        <f>(C17-C11)/C10</f>
        <v>42</v>
      </c>
      <c r="O18">
        <v>20</v>
      </c>
      <c r="P18" s="107"/>
    </row>
    <row r="19" spans="2:16" x14ac:dyDescent="0.3">
      <c r="M19">
        <f>4/30</f>
        <v>0.13333333333333333</v>
      </c>
      <c r="O19">
        <v>30</v>
      </c>
      <c r="P19" s="107"/>
    </row>
    <row r="20" spans="2:16" x14ac:dyDescent="0.3">
      <c r="O20">
        <v>40</v>
      </c>
      <c r="P20" s="107">
        <v>4</v>
      </c>
    </row>
    <row r="21" spans="2:16" x14ac:dyDescent="0.3">
      <c r="E21" t="s">
        <v>377</v>
      </c>
      <c r="M21">
        <f>30/4</f>
        <v>7.5</v>
      </c>
      <c r="O21">
        <v>50</v>
      </c>
      <c r="P21" s="107"/>
    </row>
    <row r="22" spans="2:16" x14ac:dyDescent="0.3">
      <c r="M22" s="19"/>
      <c r="O22">
        <v>60</v>
      </c>
      <c r="P22" s="107"/>
    </row>
    <row r="23" spans="2:16" x14ac:dyDescent="0.3">
      <c r="O23">
        <v>70</v>
      </c>
      <c r="P23" s="107">
        <v>4</v>
      </c>
    </row>
    <row r="24" spans="2:16" x14ac:dyDescent="0.3">
      <c r="O24">
        <v>80</v>
      </c>
      <c r="P24" s="107"/>
    </row>
    <row r="25" spans="2:16" x14ac:dyDescent="0.3">
      <c r="O25">
        <v>90</v>
      </c>
      <c r="P25" s="107"/>
    </row>
    <row r="26" spans="2:16" x14ac:dyDescent="0.3">
      <c r="P26" s="20">
        <f>SUM(P17:P25)</f>
        <v>12</v>
      </c>
    </row>
    <row r="29" spans="2:16" x14ac:dyDescent="0.3">
      <c r="D29">
        <v>2.5</v>
      </c>
    </row>
    <row r="30" spans="2:16" ht="15" thickBot="1" x14ac:dyDescent="0.35"/>
    <row r="31" spans="2:16" ht="15" thickBot="1" x14ac:dyDescent="0.35">
      <c r="B31" s="74">
        <v>250</v>
      </c>
      <c r="D31">
        <f>(B31-500)*0.005</f>
        <v>-1.25</v>
      </c>
    </row>
    <row r="34" spans="10:10" x14ac:dyDescent="0.3">
      <c r="J34">
        <f>250*20</f>
        <v>5000</v>
      </c>
    </row>
    <row r="37" spans="10:10" x14ac:dyDescent="0.3">
      <c r="J37">
        <f>1000/250</f>
        <v>4</v>
      </c>
    </row>
  </sheetData>
  <mergeCells count="8">
    <mergeCell ref="P23:P25"/>
    <mergeCell ref="E12:F12"/>
    <mergeCell ref="J4:K4"/>
    <mergeCell ref="B12:C12"/>
    <mergeCell ref="B3:C3"/>
    <mergeCell ref="E3:F3"/>
    <mergeCell ref="P17:P19"/>
    <mergeCell ref="P20:P2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4178-AC36-423E-A1F2-590888553118}">
  <dimension ref="B3:E6"/>
  <sheetViews>
    <sheetView workbookViewId="0">
      <selection activeCell="D5" sqref="D5"/>
    </sheetView>
  </sheetViews>
  <sheetFormatPr baseColWidth="10" defaultRowHeight="14.4" x14ac:dyDescent="0.3"/>
  <sheetData>
    <row r="3" spans="2:5" x14ac:dyDescent="0.3">
      <c r="C3" s="1" t="s">
        <v>908</v>
      </c>
      <c r="D3" s="1" t="s">
        <v>909</v>
      </c>
    </row>
    <row r="4" spans="2:5" x14ac:dyDescent="0.3">
      <c r="B4" t="s">
        <v>907</v>
      </c>
      <c r="C4" s="1">
        <v>0</v>
      </c>
      <c r="D4" s="1">
        <v>0</v>
      </c>
      <c r="E4" t="s">
        <v>913</v>
      </c>
    </row>
    <row r="5" spans="2:5" x14ac:dyDescent="0.3">
      <c r="B5" t="s">
        <v>910</v>
      </c>
      <c r="C5" s="1">
        <v>1</v>
      </c>
      <c r="D5" s="1">
        <v>0</v>
      </c>
      <c r="E5" t="s">
        <v>912</v>
      </c>
    </row>
    <row r="6" spans="2:5" x14ac:dyDescent="0.3">
      <c r="B6" t="s">
        <v>911</v>
      </c>
      <c r="C6" s="1">
        <v>1</v>
      </c>
      <c r="D6" s="1">
        <v>1</v>
      </c>
      <c r="E6" t="s">
        <v>914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99A5-A424-4E42-B78C-28B274B98F2F}">
  <dimension ref="A4:K15"/>
  <sheetViews>
    <sheetView workbookViewId="0">
      <selection activeCell="L11" sqref="L11"/>
    </sheetView>
  </sheetViews>
  <sheetFormatPr baseColWidth="10" defaultRowHeight="14.4" x14ac:dyDescent="0.3"/>
  <cols>
    <col min="3" max="5" width="5.6640625" style="1" customWidth="1"/>
    <col min="6" max="6" width="6.109375" style="1" customWidth="1"/>
    <col min="7" max="10" width="5.6640625" style="1" customWidth="1"/>
  </cols>
  <sheetData>
    <row r="4" spans="1:11" x14ac:dyDescent="0.3">
      <c r="B4" s="15" t="s">
        <v>416</v>
      </c>
      <c r="C4" s="132" t="s">
        <v>417</v>
      </c>
      <c r="D4" s="132"/>
      <c r="E4" s="132"/>
      <c r="F4" s="132"/>
      <c r="G4" s="132"/>
      <c r="H4" s="132"/>
      <c r="I4" s="132"/>
      <c r="J4" s="132"/>
    </row>
    <row r="5" spans="1:11" x14ac:dyDescent="0.3">
      <c r="B5" s="15" t="s">
        <v>415</v>
      </c>
      <c r="C5" s="8">
        <v>24</v>
      </c>
      <c r="D5" s="8">
        <v>25</v>
      </c>
      <c r="E5" s="8">
        <v>26</v>
      </c>
      <c r="F5" s="8">
        <v>27</v>
      </c>
      <c r="G5" s="8">
        <v>28</v>
      </c>
      <c r="H5" s="8">
        <v>29</v>
      </c>
      <c r="I5" s="8">
        <v>30</v>
      </c>
      <c r="J5" s="8">
        <v>31</v>
      </c>
    </row>
    <row r="6" spans="1:11" x14ac:dyDescent="0.3">
      <c r="B6" s="15" t="s">
        <v>421</v>
      </c>
      <c r="C6" s="82">
        <v>7</v>
      </c>
      <c r="D6" s="82">
        <v>6</v>
      </c>
      <c r="E6" s="82">
        <v>5</v>
      </c>
      <c r="F6" s="82">
        <v>4</v>
      </c>
      <c r="G6" s="82">
        <v>3</v>
      </c>
      <c r="H6" s="82">
        <v>2</v>
      </c>
      <c r="I6" s="82">
        <v>1</v>
      </c>
      <c r="J6" s="82">
        <v>0</v>
      </c>
    </row>
    <row r="7" spans="1:11" ht="33" customHeight="1" x14ac:dyDescent="0.3">
      <c r="C7" s="4" t="s">
        <v>930</v>
      </c>
      <c r="D7" s="4" t="s">
        <v>931</v>
      </c>
      <c r="E7" s="4" t="s">
        <v>932</v>
      </c>
      <c r="F7" s="4" t="s">
        <v>933</v>
      </c>
      <c r="G7" s="4" t="s">
        <v>934</v>
      </c>
      <c r="H7" s="62" t="s">
        <v>935</v>
      </c>
      <c r="I7" s="62" t="s">
        <v>935</v>
      </c>
      <c r="J7" s="62" t="s">
        <v>935</v>
      </c>
    </row>
    <row r="9" spans="1:11" x14ac:dyDescent="0.3">
      <c r="A9" s="114" t="s">
        <v>936</v>
      </c>
      <c r="B9" s="136" t="s">
        <v>937</v>
      </c>
      <c r="C9" s="9">
        <v>1</v>
      </c>
      <c r="D9" s="9" t="s">
        <v>230</v>
      </c>
      <c r="E9" s="9" t="s">
        <v>230</v>
      </c>
      <c r="F9" s="9">
        <v>0</v>
      </c>
      <c r="G9" s="9">
        <v>0</v>
      </c>
      <c r="H9" s="9" t="s">
        <v>230</v>
      </c>
      <c r="I9" s="9" t="s">
        <v>230</v>
      </c>
      <c r="J9" s="9" t="s">
        <v>230</v>
      </c>
    </row>
    <row r="10" spans="1:11" x14ac:dyDescent="0.3">
      <c r="A10" s="114"/>
      <c r="B10" s="137"/>
      <c r="C10" s="125" t="s">
        <v>940</v>
      </c>
      <c r="D10" s="128"/>
      <c r="E10" s="128"/>
      <c r="F10" s="128"/>
      <c r="G10" s="128"/>
      <c r="H10" s="128"/>
      <c r="I10" s="128"/>
      <c r="J10" s="126"/>
    </row>
    <row r="11" spans="1:11" x14ac:dyDescent="0.3">
      <c r="A11" s="114"/>
      <c r="B11" s="136" t="s">
        <v>938</v>
      </c>
      <c r="C11" s="9">
        <v>1</v>
      </c>
      <c r="D11" s="9">
        <v>1</v>
      </c>
      <c r="E11" s="9">
        <v>1</v>
      </c>
      <c r="F11" s="9">
        <v>1</v>
      </c>
      <c r="G11" s="9">
        <v>0</v>
      </c>
      <c r="H11" s="9" t="s">
        <v>230</v>
      </c>
      <c r="I11" s="9" t="s">
        <v>230</v>
      </c>
      <c r="J11" s="9" t="s">
        <v>230</v>
      </c>
      <c r="K11" s="3" t="s">
        <v>939</v>
      </c>
    </row>
    <row r="12" spans="1:11" x14ac:dyDescent="0.3">
      <c r="B12" s="137"/>
      <c r="C12" s="125" t="s">
        <v>941</v>
      </c>
      <c r="D12" s="128"/>
      <c r="E12" s="128"/>
      <c r="F12" s="128"/>
      <c r="G12" s="128"/>
      <c r="H12" s="128"/>
      <c r="I12" s="128"/>
      <c r="J12" s="126"/>
    </row>
    <row r="15" spans="1:11" x14ac:dyDescent="0.3">
      <c r="I15" s="1" t="s">
        <v>377</v>
      </c>
    </row>
  </sheetData>
  <mergeCells count="6">
    <mergeCell ref="C4:J4"/>
    <mergeCell ref="A9:A11"/>
    <mergeCell ref="C10:J10"/>
    <mergeCell ref="C12:J12"/>
    <mergeCell ref="B9:B10"/>
    <mergeCell ref="B11:B12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65AA-70C2-4C46-8F79-309544F4590B}">
  <dimension ref="A2:F74"/>
  <sheetViews>
    <sheetView topLeftCell="A42" workbookViewId="0">
      <selection activeCell="I64" sqref="I64"/>
    </sheetView>
  </sheetViews>
  <sheetFormatPr baseColWidth="10" defaultRowHeight="14.4" x14ac:dyDescent="0.3"/>
  <cols>
    <col min="2" max="3" width="11.44140625" style="1"/>
  </cols>
  <sheetData>
    <row r="2" spans="1:4" ht="15" thickBot="1" x14ac:dyDescent="0.35"/>
    <row r="3" spans="1:4" x14ac:dyDescent="0.3">
      <c r="A3">
        <v>1</v>
      </c>
      <c r="B3" s="91">
        <v>0</v>
      </c>
      <c r="C3" s="51">
        <v>0</v>
      </c>
    </row>
    <row r="4" spans="1:4" x14ac:dyDescent="0.3">
      <c r="A4">
        <v>8</v>
      </c>
      <c r="B4" s="92">
        <v>1</v>
      </c>
      <c r="C4" s="51">
        <v>1</v>
      </c>
    </row>
    <row r="5" spans="1:4" x14ac:dyDescent="0.3">
      <c r="B5" s="92">
        <v>2</v>
      </c>
      <c r="C5" s="51">
        <v>2</v>
      </c>
    </row>
    <row r="6" spans="1:4" x14ac:dyDescent="0.3">
      <c r="B6" s="92">
        <v>3</v>
      </c>
      <c r="C6" s="51">
        <v>3</v>
      </c>
      <c r="D6" t="s">
        <v>996</v>
      </c>
    </row>
    <row r="7" spans="1:4" x14ac:dyDescent="0.3">
      <c r="B7" s="92">
        <v>4</v>
      </c>
      <c r="C7" s="51">
        <v>4</v>
      </c>
    </row>
    <row r="8" spans="1:4" x14ac:dyDescent="0.3">
      <c r="B8" s="92">
        <v>5</v>
      </c>
      <c r="C8" s="51">
        <v>5</v>
      </c>
    </row>
    <row r="9" spans="1:4" x14ac:dyDescent="0.3">
      <c r="B9" s="92">
        <v>6</v>
      </c>
      <c r="C9" s="51">
        <v>6</v>
      </c>
    </row>
    <row r="10" spans="1:4" ht="15" thickBot="1" x14ac:dyDescent="0.35">
      <c r="B10" s="93">
        <v>7</v>
      </c>
      <c r="C10" s="51">
        <v>7</v>
      </c>
    </row>
    <row r="11" spans="1:4" x14ac:dyDescent="0.3">
      <c r="A11">
        <v>2</v>
      </c>
      <c r="B11" s="91">
        <v>0</v>
      </c>
      <c r="C11" s="51">
        <v>8</v>
      </c>
      <c r="D11" t="s">
        <v>997</v>
      </c>
    </row>
    <row r="12" spans="1:4" x14ac:dyDescent="0.3">
      <c r="A12">
        <v>7</v>
      </c>
      <c r="B12" s="92">
        <v>1</v>
      </c>
      <c r="C12" s="51">
        <v>9</v>
      </c>
    </row>
    <row r="13" spans="1:4" x14ac:dyDescent="0.3">
      <c r="B13" s="92">
        <v>2</v>
      </c>
      <c r="C13" s="94">
        <v>0</v>
      </c>
      <c r="D13" t="s">
        <v>996</v>
      </c>
    </row>
    <row r="14" spans="1:4" x14ac:dyDescent="0.3">
      <c r="B14" s="92">
        <v>3</v>
      </c>
      <c r="C14" s="94">
        <v>1</v>
      </c>
    </row>
    <row r="15" spans="1:4" x14ac:dyDescent="0.3">
      <c r="B15" s="92">
        <v>4</v>
      </c>
      <c r="C15" s="94">
        <v>2</v>
      </c>
    </row>
    <row r="16" spans="1:4" x14ac:dyDescent="0.3">
      <c r="B16" s="92">
        <v>5</v>
      </c>
      <c r="C16" s="94">
        <v>3</v>
      </c>
    </row>
    <row r="17" spans="1:6" x14ac:dyDescent="0.3">
      <c r="B17" s="92">
        <v>6</v>
      </c>
      <c r="C17" s="94">
        <v>4</v>
      </c>
    </row>
    <row r="18" spans="1:6" ht="15" thickBot="1" x14ac:dyDescent="0.35">
      <c r="B18" s="93">
        <v>7</v>
      </c>
      <c r="C18" s="94">
        <v>5</v>
      </c>
    </row>
    <row r="19" spans="1:6" x14ac:dyDescent="0.3">
      <c r="A19">
        <v>3</v>
      </c>
      <c r="B19" s="91">
        <v>0</v>
      </c>
      <c r="C19" s="94">
        <v>6</v>
      </c>
      <c r="D19" t="s">
        <v>997</v>
      </c>
    </row>
    <row r="20" spans="1:6" x14ac:dyDescent="0.3">
      <c r="A20">
        <v>6</v>
      </c>
      <c r="B20" s="92">
        <v>1</v>
      </c>
      <c r="C20" s="94">
        <v>7</v>
      </c>
      <c r="F20" t="s">
        <v>377</v>
      </c>
    </row>
    <row r="21" spans="1:6" x14ac:dyDescent="0.3">
      <c r="B21" s="92">
        <v>2</v>
      </c>
      <c r="C21" s="49">
        <v>0</v>
      </c>
      <c r="D21" t="s">
        <v>996</v>
      </c>
    </row>
    <row r="22" spans="1:6" x14ac:dyDescent="0.3">
      <c r="B22" s="92">
        <v>3</v>
      </c>
      <c r="C22" s="49">
        <v>1</v>
      </c>
    </row>
    <row r="23" spans="1:6" x14ac:dyDescent="0.3">
      <c r="B23" s="92">
        <v>4</v>
      </c>
      <c r="C23" s="49">
        <v>2</v>
      </c>
    </row>
    <row r="24" spans="1:6" x14ac:dyDescent="0.3">
      <c r="B24" s="92">
        <v>5</v>
      </c>
      <c r="C24" s="49">
        <v>3</v>
      </c>
    </row>
    <row r="25" spans="1:6" x14ac:dyDescent="0.3">
      <c r="B25" s="92">
        <v>6</v>
      </c>
      <c r="C25" s="49">
        <v>4</v>
      </c>
    </row>
    <row r="26" spans="1:6" ht="15" thickBot="1" x14ac:dyDescent="0.35">
      <c r="B26" s="93">
        <v>7</v>
      </c>
      <c r="C26" s="49">
        <v>5</v>
      </c>
    </row>
    <row r="27" spans="1:6" x14ac:dyDescent="0.3">
      <c r="A27">
        <v>4</v>
      </c>
      <c r="B27" s="91">
        <v>0</v>
      </c>
      <c r="C27" s="49">
        <v>6</v>
      </c>
    </row>
    <row r="28" spans="1:6" x14ac:dyDescent="0.3">
      <c r="A28">
        <v>5</v>
      </c>
      <c r="B28" s="92">
        <v>1</v>
      </c>
      <c r="C28" s="49">
        <v>7</v>
      </c>
    </row>
    <row r="29" spans="1:6" x14ac:dyDescent="0.3">
      <c r="B29" s="92">
        <v>2</v>
      </c>
      <c r="C29" s="49">
        <v>8</v>
      </c>
    </row>
    <row r="30" spans="1:6" x14ac:dyDescent="0.3">
      <c r="B30" s="92">
        <v>3</v>
      </c>
      <c r="C30" s="49">
        <v>9</v>
      </c>
    </row>
    <row r="31" spans="1:6" x14ac:dyDescent="0.3">
      <c r="B31" s="92">
        <v>4</v>
      </c>
      <c r="C31" s="49">
        <v>10</v>
      </c>
    </row>
    <row r="32" spans="1:6" x14ac:dyDescent="0.3">
      <c r="B32" s="92">
        <v>5</v>
      </c>
      <c r="C32" s="49">
        <v>11</v>
      </c>
    </row>
    <row r="33" spans="1:4" x14ac:dyDescent="0.3">
      <c r="B33" s="92">
        <v>6</v>
      </c>
      <c r="C33" s="49">
        <v>12</v>
      </c>
    </row>
    <row r="34" spans="1:4" ht="15" thickBot="1" x14ac:dyDescent="0.35">
      <c r="B34" s="93">
        <v>7</v>
      </c>
      <c r="C34" s="49">
        <v>13</v>
      </c>
    </row>
    <row r="35" spans="1:4" x14ac:dyDescent="0.3">
      <c r="A35">
        <v>5</v>
      </c>
      <c r="B35" s="91">
        <v>0</v>
      </c>
      <c r="C35" s="49">
        <v>14</v>
      </c>
      <c r="D35" t="s">
        <v>997</v>
      </c>
    </row>
    <row r="36" spans="1:4" x14ac:dyDescent="0.3">
      <c r="A36">
        <v>4</v>
      </c>
      <c r="B36" s="92">
        <v>1</v>
      </c>
      <c r="C36" s="49">
        <v>15</v>
      </c>
    </row>
    <row r="37" spans="1:4" x14ac:dyDescent="0.3">
      <c r="B37" s="92">
        <v>2</v>
      </c>
      <c r="C37" s="49">
        <v>16</v>
      </c>
    </row>
    <row r="38" spans="1:4" x14ac:dyDescent="0.3">
      <c r="B38" s="92">
        <v>3</v>
      </c>
      <c r="C38" s="49">
        <v>17</v>
      </c>
    </row>
    <row r="39" spans="1:4" x14ac:dyDescent="0.3">
      <c r="B39" s="92">
        <v>4</v>
      </c>
      <c r="C39" s="95">
        <v>0</v>
      </c>
    </row>
    <row r="40" spans="1:4" x14ac:dyDescent="0.3">
      <c r="B40" s="92">
        <v>5</v>
      </c>
      <c r="C40" s="95">
        <v>1</v>
      </c>
    </row>
    <row r="41" spans="1:4" x14ac:dyDescent="0.3">
      <c r="B41" s="92">
        <v>6</v>
      </c>
      <c r="C41" s="96">
        <v>0</v>
      </c>
      <c r="D41" t="s">
        <v>996</v>
      </c>
    </row>
    <row r="42" spans="1:4" ht="15" thickBot="1" x14ac:dyDescent="0.35">
      <c r="B42" s="93">
        <v>7</v>
      </c>
      <c r="C42" s="96">
        <v>1</v>
      </c>
    </row>
    <row r="43" spans="1:4" x14ac:dyDescent="0.3">
      <c r="A43">
        <v>6</v>
      </c>
      <c r="B43" s="91">
        <v>0</v>
      </c>
      <c r="C43" s="96">
        <v>2</v>
      </c>
      <c r="D43" t="s">
        <v>997</v>
      </c>
    </row>
    <row r="44" spans="1:4" x14ac:dyDescent="0.3">
      <c r="A44">
        <v>3</v>
      </c>
      <c r="B44" s="92">
        <v>1</v>
      </c>
      <c r="C44" s="96">
        <v>3</v>
      </c>
    </row>
    <row r="45" spans="1:4" x14ac:dyDescent="0.3">
      <c r="B45" s="92">
        <v>2</v>
      </c>
      <c r="C45" s="96">
        <v>4</v>
      </c>
    </row>
    <row r="46" spans="1:4" x14ac:dyDescent="0.3">
      <c r="B46" s="92">
        <v>3</v>
      </c>
      <c r="C46" s="96">
        <v>5</v>
      </c>
    </row>
    <row r="47" spans="1:4" x14ac:dyDescent="0.3">
      <c r="B47" s="92">
        <v>4</v>
      </c>
      <c r="C47" s="96">
        <v>6</v>
      </c>
    </row>
    <row r="48" spans="1:4" x14ac:dyDescent="0.3">
      <c r="B48" s="92">
        <v>5</v>
      </c>
      <c r="C48" s="96">
        <v>7</v>
      </c>
    </row>
    <row r="49" spans="1:4" x14ac:dyDescent="0.3">
      <c r="B49" s="92">
        <v>6</v>
      </c>
      <c r="C49" s="96">
        <v>8</v>
      </c>
    </row>
    <row r="50" spans="1:4" ht="15" thickBot="1" x14ac:dyDescent="0.35">
      <c r="B50" s="93">
        <v>7</v>
      </c>
      <c r="C50" s="96">
        <v>9</v>
      </c>
    </row>
    <row r="51" spans="1:4" x14ac:dyDescent="0.3">
      <c r="A51">
        <v>7</v>
      </c>
      <c r="B51" s="91">
        <v>0</v>
      </c>
      <c r="C51" s="97">
        <v>0</v>
      </c>
      <c r="D51" t="s">
        <v>996</v>
      </c>
    </row>
    <row r="52" spans="1:4" x14ac:dyDescent="0.3">
      <c r="A52">
        <v>2</v>
      </c>
      <c r="B52" s="92">
        <v>1</v>
      </c>
      <c r="C52" s="97">
        <v>1</v>
      </c>
    </row>
    <row r="53" spans="1:4" x14ac:dyDescent="0.3">
      <c r="B53" s="92">
        <v>2</v>
      </c>
      <c r="C53" s="97">
        <v>2</v>
      </c>
    </row>
    <row r="54" spans="1:4" x14ac:dyDescent="0.3">
      <c r="B54" s="92">
        <v>3</v>
      </c>
      <c r="C54" s="97">
        <v>3</v>
      </c>
    </row>
    <row r="55" spans="1:4" x14ac:dyDescent="0.3">
      <c r="B55" s="92">
        <v>4</v>
      </c>
      <c r="C55" s="97">
        <v>4</v>
      </c>
    </row>
    <row r="56" spans="1:4" x14ac:dyDescent="0.3">
      <c r="B56" s="92">
        <v>5</v>
      </c>
      <c r="C56" s="97">
        <v>5</v>
      </c>
    </row>
    <row r="57" spans="1:4" x14ac:dyDescent="0.3">
      <c r="B57" s="92">
        <v>6</v>
      </c>
      <c r="C57" s="97">
        <v>6</v>
      </c>
    </row>
    <row r="58" spans="1:4" ht="15" thickBot="1" x14ac:dyDescent="0.35">
      <c r="B58" s="93">
        <v>7</v>
      </c>
      <c r="C58" s="97">
        <v>7</v>
      </c>
    </row>
    <row r="59" spans="1:4" x14ac:dyDescent="0.3">
      <c r="A59">
        <v>8</v>
      </c>
      <c r="B59" s="91">
        <v>0</v>
      </c>
      <c r="C59" s="97">
        <v>8</v>
      </c>
      <c r="D59" t="s">
        <v>997</v>
      </c>
    </row>
    <row r="60" spans="1:4" x14ac:dyDescent="0.3">
      <c r="A60">
        <v>1</v>
      </c>
      <c r="B60" s="92">
        <v>1</v>
      </c>
      <c r="C60" s="97">
        <v>9</v>
      </c>
    </row>
    <row r="61" spans="1:4" x14ac:dyDescent="0.3">
      <c r="B61" s="92">
        <v>2</v>
      </c>
      <c r="C61" s="98">
        <v>0</v>
      </c>
      <c r="D61" t="s">
        <v>996</v>
      </c>
    </row>
    <row r="62" spans="1:4" x14ac:dyDescent="0.3">
      <c r="B62" s="92">
        <v>3</v>
      </c>
      <c r="C62" s="98">
        <v>1</v>
      </c>
    </row>
    <row r="63" spans="1:4" x14ac:dyDescent="0.3">
      <c r="B63" s="92">
        <v>4</v>
      </c>
      <c r="C63" s="98">
        <v>2</v>
      </c>
    </row>
    <row r="64" spans="1:4" x14ac:dyDescent="0.3">
      <c r="B64" s="92">
        <v>5</v>
      </c>
      <c r="C64" s="98">
        <v>3</v>
      </c>
    </row>
    <row r="65" spans="1:4" x14ac:dyDescent="0.3">
      <c r="B65" s="92">
        <v>6</v>
      </c>
      <c r="C65" s="98">
        <v>4</v>
      </c>
    </row>
    <row r="66" spans="1:4" ht="15" thickBot="1" x14ac:dyDescent="0.35">
      <c r="B66" s="93">
        <v>7</v>
      </c>
      <c r="C66" s="98">
        <v>5</v>
      </c>
    </row>
    <row r="67" spans="1:4" x14ac:dyDescent="0.3">
      <c r="A67">
        <v>9</v>
      </c>
      <c r="B67" s="91">
        <v>0</v>
      </c>
      <c r="C67" s="98">
        <v>6</v>
      </c>
      <c r="D67" t="s">
        <v>997</v>
      </c>
    </row>
    <row r="68" spans="1:4" x14ac:dyDescent="0.3">
      <c r="A68">
        <v>0</v>
      </c>
      <c r="B68" s="92">
        <v>1</v>
      </c>
      <c r="C68" s="98">
        <v>7</v>
      </c>
    </row>
    <row r="69" spans="1:4" x14ac:dyDescent="0.3">
      <c r="B69" s="92">
        <v>2</v>
      </c>
      <c r="C69" s="98">
        <v>8</v>
      </c>
    </row>
    <row r="70" spans="1:4" x14ac:dyDescent="0.3">
      <c r="B70" s="92">
        <v>3</v>
      </c>
      <c r="C70" s="98">
        <v>9</v>
      </c>
    </row>
    <row r="71" spans="1:4" x14ac:dyDescent="0.3">
      <c r="B71" s="92">
        <v>4</v>
      </c>
      <c r="C71" s="99">
        <v>0</v>
      </c>
    </row>
    <row r="72" spans="1:4" x14ac:dyDescent="0.3">
      <c r="B72" s="92">
        <v>5</v>
      </c>
    </row>
    <row r="73" spans="1:4" x14ac:dyDescent="0.3">
      <c r="B73" s="92">
        <v>6</v>
      </c>
    </row>
    <row r="74" spans="1:4" ht="15" thickBot="1" x14ac:dyDescent="0.35">
      <c r="B74" s="93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EEP-Profile</vt:lpstr>
      <vt:lpstr>Parameter</vt:lpstr>
      <vt:lpstr>KOs</vt:lpstr>
      <vt:lpstr>Profile_Gitlab_ETS</vt:lpstr>
      <vt:lpstr>Profile_Gitlab_Kon</vt:lpstr>
      <vt:lpstr>Rocker</vt:lpstr>
      <vt:lpstr>MSG creator</vt:lpstr>
      <vt:lpstr>AES128</vt:lpstr>
      <vt:lpstr>Umrechnungen</vt:lpstr>
      <vt:lpstr>Tests</vt:lpstr>
      <vt:lpstr>TeachIn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Freud</dc:creator>
  <cp:lastModifiedBy>Matthias Freudenreich - ELTAKO</cp:lastModifiedBy>
  <dcterms:created xsi:type="dcterms:W3CDTF">2021-05-13T19:16:37Z</dcterms:created>
  <dcterms:modified xsi:type="dcterms:W3CDTF">2026-08-19T20:22:50Z</dcterms:modified>
</cp:coreProperties>
</file>